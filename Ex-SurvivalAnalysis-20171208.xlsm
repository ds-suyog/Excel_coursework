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10. advncd analytics\"/>
    </mc:Choice>
  </mc:AlternateContent>
  <bookViews>
    <workbookView xWindow="0" yWindow="0" windowWidth="22335" windowHeight="8340"/>
  </bookViews>
  <sheets>
    <sheet name="Survival" sheetId="3" r:id="rId1"/>
  </sheets>
  <externalReferences>
    <externalReference r:id="rId2"/>
  </externalReferences>
  <definedNames>
    <definedName name="solver_adj" localSheetId="0" hidden="1">Survival!$E$42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Survival!$E$43</definedName>
    <definedName name="solver_pre" localSheetId="0" hidden="1">0.000001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1</definedName>
    <definedName name="solver_val" localSheetId="0" hidden="1">0</definedName>
  </definedNames>
  <calcPr calcId="162913"/>
</workbook>
</file>

<file path=xl/calcChain.xml><?xml version="1.0" encoding="utf-8"?>
<calcChain xmlns="http://schemas.openxmlformats.org/spreadsheetml/2006/main">
  <c r="D40" i="3" l="1"/>
  <c r="E40" i="3"/>
  <c r="F40" i="3"/>
  <c r="G40" i="3"/>
  <c r="H40" i="3"/>
  <c r="I40" i="3"/>
  <c r="J40" i="3"/>
  <c r="K40" i="3"/>
  <c r="C40" i="3"/>
  <c r="B40" i="3"/>
  <c r="B35" i="3"/>
  <c r="B34" i="3"/>
  <c r="C34" i="3" s="1"/>
  <c r="D34" i="3" s="1"/>
  <c r="E34" i="3" s="1"/>
  <c r="F34" i="3" s="1"/>
  <c r="G34" i="3" s="1"/>
  <c r="H34" i="3" s="1"/>
  <c r="I34" i="3" s="1"/>
  <c r="J34" i="3" s="1"/>
  <c r="K34" i="3" s="1"/>
  <c r="B11" i="3"/>
  <c r="C11" i="3" s="1"/>
  <c r="D11" i="3" s="1"/>
  <c r="E11" i="3" s="1"/>
  <c r="F11" i="3" s="1"/>
  <c r="G11" i="3" s="1"/>
  <c r="H11" i="3" s="1"/>
  <c r="I11" i="3" s="1"/>
  <c r="J11" i="3" s="1"/>
  <c r="K11" i="3" s="1"/>
  <c r="B12" i="3"/>
  <c r="C12" i="3" s="1"/>
  <c r="D12" i="3" s="1"/>
  <c r="E12" i="3" s="1"/>
  <c r="F12" i="3" s="1"/>
  <c r="G12" i="3" s="1"/>
  <c r="H12" i="3" s="1"/>
  <c r="I12" i="3" s="1"/>
  <c r="J12" i="3" s="1"/>
  <c r="K12" i="3" s="1"/>
  <c r="B13" i="3"/>
  <c r="C13" i="3" s="1"/>
  <c r="D13" i="3" s="1"/>
  <c r="E13" i="3" s="1"/>
  <c r="F13" i="3" s="1"/>
  <c r="G13" i="3" s="1"/>
  <c r="H13" i="3" s="1"/>
  <c r="I13" i="3" s="1"/>
  <c r="J13" i="3" s="1"/>
  <c r="K13" i="3" s="1"/>
  <c r="B14" i="3"/>
  <c r="C14" i="3" s="1"/>
  <c r="D14" i="3" s="1"/>
  <c r="E14" i="3" s="1"/>
  <c r="F14" i="3" s="1"/>
  <c r="G14" i="3" s="1"/>
  <c r="H14" i="3" s="1"/>
  <c r="I14" i="3" s="1"/>
  <c r="J14" i="3" s="1"/>
  <c r="K14" i="3" s="1"/>
  <c r="B15" i="3"/>
  <c r="C15" i="3" s="1"/>
  <c r="D15" i="3" s="1"/>
  <c r="E15" i="3" s="1"/>
  <c r="F15" i="3" s="1"/>
  <c r="G15" i="3" s="1"/>
  <c r="H15" i="3" s="1"/>
  <c r="I15" i="3" s="1"/>
  <c r="J15" i="3" s="1"/>
  <c r="K15" i="3" s="1"/>
  <c r="B16" i="3"/>
  <c r="C16" i="3" s="1"/>
  <c r="D16" i="3" s="1"/>
  <c r="E16" i="3" s="1"/>
  <c r="F16" i="3" s="1"/>
  <c r="G16" i="3" s="1"/>
  <c r="H16" i="3" s="1"/>
  <c r="I16" i="3" s="1"/>
  <c r="J16" i="3" s="1"/>
  <c r="K16" i="3" s="1"/>
  <c r="B17" i="3"/>
  <c r="C17" i="3" s="1"/>
  <c r="D17" i="3" s="1"/>
  <c r="E17" i="3" s="1"/>
  <c r="F17" i="3" s="1"/>
  <c r="G17" i="3" s="1"/>
  <c r="H17" i="3" s="1"/>
  <c r="I17" i="3" s="1"/>
  <c r="J17" i="3" s="1"/>
  <c r="K17" i="3" s="1"/>
  <c r="B18" i="3"/>
  <c r="C18" i="3" s="1"/>
  <c r="D18" i="3" s="1"/>
  <c r="E18" i="3" s="1"/>
  <c r="F18" i="3" s="1"/>
  <c r="G18" i="3" s="1"/>
  <c r="H18" i="3" s="1"/>
  <c r="I18" i="3" s="1"/>
  <c r="J18" i="3" s="1"/>
  <c r="K18" i="3" s="1"/>
  <c r="B19" i="3"/>
  <c r="C19" i="3" s="1"/>
  <c r="D19" i="3" s="1"/>
  <c r="E19" i="3" s="1"/>
  <c r="F19" i="3" s="1"/>
  <c r="G19" i="3" s="1"/>
  <c r="H19" i="3" s="1"/>
  <c r="I19" i="3" s="1"/>
  <c r="J19" i="3" s="1"/>
  <c r="K19" i="3" s="1"/>
  <c r="B20" i="3"/>
  <c r="C20" i="3" s="1"/>
  <c r="D20" i="3" s="1"/>
  <c r="E20" i="3" s="1"/>
  <c r="F20" i="3" s="1"/>
  <c r="G20" i="3" s="1"/>
  <c r="H20" i="3" s="1"/>
  <c r="I20" i="3" s="1"/>
  <c r="J20" i="3" s="1"/>
  <c r="K20" i="3" s="1"/>
  <c r="B21" i="3"/>
  <c r="C21" i="3" s="1"/>
  <c r="D21" i="3" s="1"/>
  <c r="E21" i="3" s="1"/>
  <c r="F21" i="3" s="1"/>
  <c r="G21" i="3" s="1"/>
  <c r="H21" i="3" s="1"/>
  <c r="I21" i="3" s="1"/>
  <c r="J21" i="3" s="1"/>
  <c r="K21" i="3" s="1"/>
  <c r="B22" i="3"/>
  <c r="C22" i="3" s="1"/>
  <c r="D22" i="3" s="1"/>
  <c r="E22" i="3" s="1"/>
  <c r="F22" i="3" s="1"/>
  <c r="G22" i="3" s="1"/>
  <c r="H22" i="3" s="1"/>
  <c r="I22" i="3" s="1"/>
  <c r="J22" i="3" s="1"/>
  <c r="K22" i="3" s="1"/>
  <c r="B23" i="3"/>
  <c r="C23" i="3" s="1"/>
  <c r="D23" i="3" s="1"/>
  <c r="E23" i="3" s="1"/>
  <c r="F23" i="3" s="1"/>
  <c r="G23" i="3" s="1"/>
  <c r="H23" i="3" s="1"/>
  <c r="I23" i="3" s="1"/>
  <c r="J23" i="3" s="1"/>
  <c r="K23" i="3" s="1"/>
  <c r="B24" i="3"/>
  <c r="C24" i="3" s="1"/>
  <c r="D24" i="3" s="1"/>
  <c r="E24" i="3" s="1"/>
  <c r="F24" i="3" s="1"/>
  <c r="G24" i="3" s="1"/>
  <c r="H24" i="3" s="1"/>
  <c r="I24" i="3" s="1"/>
  <c r="J24" i="3" s="1"/>
  <c r="K24" i="3" s="1"/>
  <c r="B25" i="3"/>
  <c r="C25" i="3" s="1"/>
  <c r="D25" i="3" s="1"/>
  <c r="E25" i="3" s="1"/>
  <c r="F25" i="3" s="1"/>
  <c r="G25" i="3" s="1"/>
  <c r="H25" i="3" s="1"/>
  <c r="I25" i="3" s="1"/>
  <c r="J25" i="3" s="1"/>
  <c r="K25" i="3" s="1"/>
  <c r="B26" i="3"/>
  <c r="C26" i="3" s="1"/>
  <c r="D26" i="3" s="1"/>
  <c r="E26" i="3" s="1"/>
  <c r="F26" i="3" s="1"/>
  <c r="G26" i="3" s="1"/>
  <c r="H26" i="3" s="1"/>
  <c r="I26" i="3" s="1"/>
  <c r="J26" i="3" s="1"/>
  <c r="K26" i="3" s="1"/>
  <c r="B27" i="3"/>
  <c r="C27" i="3" s="1"/>
  <c r="D27" i="3" s="1"/>
  <c r="E27" i="3" s="1"/>
  <c r="F27" i="3" s="1"/>
  <c r="G27" i="3" s="1"/>
  <c r="H27" i="3" s="1"/>
  <c r="I27" i="3" s="1"/>
  <c r="J27" i="3" s="1"/>
  <c r="K27" i="3" s="1"/>
  <c r="B28" i="3"/>
  <c r="C28" i="3" s="1"/>
  <c r="D28" i="3" s="1"/>
  <c r="E28" i="3" s="1"/>
  <c r="F28" i="3" s="1"/>
  <c r="G28" i="3" s="1"/>
  <c r="H28" i="3" s="1"/>
  <c r="I28" i="3" s="1"/>
  <c r="J28" i="3" s="1"/>
  <c r="K28" i="3" s="1"/>
  <c r="B29" i="3"/>
  <c r="C29" i="3" s="1"/>
  <c r="D29" i="3" s="1"/>
  <c r="E29" i="3" s="1"/>
  <c r="F29" i="3" s="1"/>
  <c r="G29" i="3" s="1"/>
  <c r="H29" i="3" s="1"/>
  <c r="I29" i="3" s="1"/>
  <c r="J29" i="3" s="1"/>
  <c r="K29" i="3" s="1"/>
  <c r="B30" i="3"/>
  <c r="C30" i="3" s="1"/>
  <c r="D30" i="3" s="1"/>
  <c r="E30" i="3" s="1"/>
  <c r="F30" i="3" s="1"/>
  <c r="G30" i="3" s="1"/>
  <c r="H30" i="3" s="1"/>
  <c r="I30" i="3" s="1"/>
  <c r="J30" i="3" s="1"/>
  <c r="K30" i="3" s="1"/>
  <c r="B31" i="3"/>
  <c r="C31" i="3" s="1"/>
  <c r="D31" i="3" s="1"/>
  <c r="E31" i="3" s="1"/>
  <c r="F31" i="3" s="1"/>
  <c r="G31" i="3" s="1"/>
  <c r="H31" i="3" s="1"/>
  <c r="I31" i="3" s="1"/>
  <c r="J31" i="3" s="1"/>
  <c r="K31" i="3" s="1"/>
  <c r="B32" i="3"/>
  <c r="C32" i="3" s="1"/>
  <c r="D32" i="3" s="1"/>
  <c r="E32" i="3" s="1"/>
  <c r="F32" i="3" s="1"/>
  <c r="G32" i="3" s="1"/>
  <c r="H32" i="3" s="1"/>
  <c r="I32" i="3" s="1"/>
  <c r="J32" i="3" s="1"/>
  <c r="K32" i="3" s="1"/>
  <c r="B33" i="3"/>
  <c r="C33" i="3" s="1"/>
  <c r="D33" i="3" s="1"/>
  <c r="E33" i="3" s="1"/>
  <c r="F33" i="3" s="1"/>
  <c r="G33" i="3" s="1"/>
  <c r="H33" i="3" s="1"/>
  <c r="I33" i="3" s="1"/>
  <c r="J33" i="3" s="1"/>
  <c r="K33" i="3" s="1"/>
  <c r="B10" i="3"/>
  <c r="C10" i="3" s="1"/>
  <c r="D10" i="3" s="1"/>
  <c r="E10" i="3" s="1"/>
  <c r="F10" i="3" s="1"/>
  <c r="G10" i="3" s="1"/>
  <c r="H10" i="3" s="1"/>
  <c r="I10" i="3" s="1"/>
  <c r="J10" i="3" s="1"/>
  <c r="K10" i="3" s="1"/>
  <c r="K37" i="3" l="1"/>
  <c r="J37" i="3"/>
  <c r="I37" i="3"/>
  <c r="H37" i="3"/>
  <c r="G37" i="3"/>
  <c r="F37" i="3"/>
  <c r="D37" i="3"/>
  <c r="E37" i="3"/>
  <c r="K36" i="3"/>
  <c r="C37" i="3"/>
  <c r="J36" i="3"/>
  <c r="I36" i="3"/>
  <c r="H36" i="3"/>
  <c r="G36" i="3"/>
  <c r="E36" i="3"/>
  <c r="F36" i="3"/>
  <c r="D36" i="3"/>
  <c r="C36" i="3"/>
  <c r="B36" i="3"/>
  <c r="B37" i="3"/>
  <c r="C9" i="3"/>
  <c r="D9" i="3" s="1"/>
  <c r="E9" i="3" s="1"/>
  <c r="F9" i="3" s="1"/>
  <c r="G9" i="3" s="1"/>
  <c r="H9" i="3" s="1"/>
  <c r="I9" i="3" s="1"/>
  <c r="J9" i="3" s="1"/>
  <c r="K9" i="3" s="1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46" i="3"/>
  <c r="A47" i="3" s="1"/>
  <c r="A48" i="3" s="1"/>
  <c r="A49" i="3" s="1"/>
  <c r="A50" i="3" s="1"/>
  <c r="A51" i="3" s="1"/>
  <c r="A52" i="3" s="1"/>
  <c r="A53" i="3" s="1"/>
  <c r="B38" i="3" l="1"/>
  <c r="C35" i="3"/>
  <c r="D35" i="3" s="1"/>
  <c r="E35" i="3" s="1"/>
  <c r="F35" i="3" s="1"/>
  <c r="G35" i="3" s="1"/>
  <c r="H35" i="3" s="1"/>
  <c r="I35" i="3" s="1"/>
  <c r="J35" i="3" s="1"/>
  <c r="K35" i="3" s="1"/>
  <c r="K38" i="3" s="1"/>
  <c r="I38" i="3" l="1"/>
  <c r="H38" i="3"/>
  <c r="G38" i="3"/>
  <c r="E38" i="3"/>
  <c r="F38" i="3"/>
  <c r="D38" i="3"/>
  <c r="J38" i="3"/>
  <c r="C38" i="3"/>
  <c r="B39" i="3"/>
  <c r="B41" i="3" s="1"/>
  <c r="K39" i="3" l="1"/>
  <c r="K41" i="3" s="1"/>
  <c r="E39" i="3"/>
  <c r="E41" i="3" s="1"/>
  <c r="J39" i="3"/>
  <c r="J41" i="3" s="1"/>
  <c r="C39" i="3"/>
  <c r="C41" i="3" s="1"/>
  <c r="G39" i="3"/>
  <c r="G41" i="3" s="1"/>
  <c r="D39" i="3"/>
  <c r="D41" i="3" s="1"/>
  <c r="I39" i="3"/>
  <c r="I41" i="3" s="1"/>
  <c r="H39" i="3"/>
  <c r="H41" i="3" s="1"/>
  <c r="F39" i="3"/>
  <c r="F41" i="3" s="1"/>
</calcChain>
</file>

<file path=xl/sharedStrings.xml><?xml version="1.0" encoding="utf-8"?>
<sst xmlns="http://schemas.openxmlformats.org/spreadsheetml/2006/main" count="17" uniqueCount="17">
  <si>
    <t>Individual</t>
  </si>
  <si>
    <t>Day</t>
  </si>
  <si>
    <t>Daily Survival</t>
  </si>
  <si>
    <t>Survival Analysis</t>
  </si>
  <si>
    <t>Model inputs:</t>
  </si>
  <si>
    <r>
      <t xml:space="preserve">Expected </t>
    </r>
    <r>
      <rPr>
        <i/>
        <sz val="10"/>
        <rFont val="Arial"/>
        <family val="2"/>
      </rPr>
      <t>P</t>
    </r>
    <r>
      <rPr>
        <i/>
        <vertAlign val="subscript"/>
        <sz val="10"/>
        <rFont val="Arial"/>
        <family val="2"/>
      </rPr>
      <t>u</t>
    </r>
  </si>
  <si>
    <t xml:space="preserve">Survival = </t>
  </si>
  <si>
    <t>Total sample =</t>
  </si>
  <si>
    <t xml:space="preserve">Prob. of censor = </t>
  </si>
  <si>
    <t># at risk</t>
  </si>
  <si>
    <t># deaths</t>
  </si>
  <si>
    <t># censored</t>
  </si>
  <si>
    <r>
      <t xml:space="preserve">Unconditional </t>
    </r>
    <r>
      <rPr>
        <i/>
        <sz val="10"/>
        <rFont val="Arial"/>
        <family val="2"/>
      </rPr>
      <t>P</t>
    </r>
    <r>
      <rPr>
        <i/>
        <vertAlign val="subscript"/>
        <sz val="10"/>
        <rFont val="Arial"/>
        <family val="2"/>
      </rPr>
      <t>u</t>
    </r>
  </si>
  <si>
    <r>
      <t xml:space="preserve">Conditional </t>
    </r>
    <r>
      <rPr>
        <i/>
        <sz val="10"/>
        <rFont val="Arial"/>
        <family val="2"/>
      </rPr>
      <t>P</t>
    </r>
    <r>
      <rPr>
        <i/>
        <vertAlign val="subscript"/>
        <sz val="10"/>
        <rFont val="Arial"/>
        <family val="2"/>
      </rPr>
      <t>c</t>
    </r>
  </si>
  <si>
    <t>Expected survival</t>
  </si>
  <si>
    <t>Daily survival</t>
  </si>
  <si>
    <t>make graph- uncond prob, cond prob and expected survival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</si>
</sst>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0"/>
      <name val="Arial"/>
    </font>
    <font>
      <b/>
      <sz val="1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vertAlign val="subscript"/>
      <sz val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Fill="1" applyBorder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2" xfId="0" applyFill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0" xfId="0" applyFill="1" applyAlignment="1">
      <alignment vertical="center"/>
    </xf>
    <xf numFmtId="0" fontId="0" fillId="2" borderId="2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5" fillId="0" borderId="0" xfId="0" applyFont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D9D9D9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BFBFB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[1]Sheet3!$A$38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[1]Sheet3!$B$9:$K$9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[1]Sheet3!$B$38:$K$38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D9-4D10-B4F2-1644E81182D1}"/>
            </c:ext>
          </c:extLst>
        </c:ser>
        <c:ser>
          <c:idx val="1"/>
          <c:order val="1"/>
          <c:tx>
            <c:strRef>
              <c:f>[1]Sheet3!$A$39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[1]Sheet3!$B$9:$K$9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[1]Sheet3!$B$39:$K$39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D9-4D10-B4F2-1644E81182D1}"/>
            </c:ext>
          </c:extLst>
        </c:ser>
        <c:ser>
          <c:idx val="2"/>
          <c:order val="2"/>
          <c:tx>
            <c:strRef>
              <c:f>[1]Sheet3!$A$40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noFill/>
              </a:ln>
              <a:effectLst/>
            </c:spPr>
          </c:marker>
          <c:cat>
            <c:numRef>
              <c:f>[1]Sheet3!$B$9:$K$9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[1]Sheet3!$B$40:$K$40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D9-4D10-B4F2-1644E8118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758032"/>
        <c:axId val="525754424"/>
      </c:lineChart>
      <c:catAx>
        <c:axId val="52575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754424"/>
        <c:crosses val="autoZero"/>
        <c:auto val="1"/>
        <c:lblAlgn val="ctr"/>
        <c:lblOffset val="100"/>
        <c:noMultiLvlLbl val="0"/>
      </c:catAx>
      <c:valAx>
        <c:axId val="52575442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758032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27</xdr:row>
      <xdr:rowOff>0</xdr:rowOff>
    </xdr:from>
    <xdr:to>
      <xdr:col>19</xdr:col>
      <xdr:colOff>44649</xdr:colOff>
      <xdr:row>42</xdr:row>
      <xdr:rowOff>28576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C1CD8AB-962C-4E0A-B7DD-54DF13B11C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19.1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53"/>
  <sheetViews>
    <sheetView tabSelected="1" topLeftCell="G26" zoomScaleNormal="100" workbookViewId="0">
      <selection activeCell="T43" sqref="T43"/>
    </sheetView>
  </sheetViews>
  <sheetFormatPr defaultRowHeight="15" customHeight="1" x14ac:dyDescent="0.2"/>
  <cols>
    <col min="1" max="1" width="16.42578125" style="2" customWidth="1"/>
    <col min="2" max="11" width="6.28515625" style="2" customWidth="1"/>
    <col min="12" max="16384" width="9.140625" style="2"/>
  </cols>
  <sheetData>
    <row r="1" spans="1:11" ht="15" customHeight="1" x14ac:dyDescent="0.2">
      <c r="A1" s="1" t="s">
        <v>3</v>
      </c>
      <c r="G1" s="3"/>
      <c r="H1" s="3"/>
      <c r="I1" s="3"/>
      <c r="J1" s="3"/>
      <c r="K1" s="3"/>
    </row>
    <row r="2" spans="1:11" ht="15" customHeight="1" x14ac:dyDescent="0.2">
      <c r="G2" s="3"/>
      <c r="H2" s="3"/>
      <c r="I2" s="3"/>
      <c r="J2" s="3"/>
      <c r="K2" s="3"/>
    </row>
    <row r="3" spans="1:11" ht="15" customHeight="1" x14ac:dyDescent="0.2">
      <c r="A3" s="13" t="s">
        <v>4</v>
      </c>
      <c r="B3" s="13"/>
      <c r="G3" s="4"/>
      <c r="H3" s="4"/>
      <c r="I3" s="3"/>
      <c r="J3" s="3"/>
      <c r="K3" s="3"/>
    </row>
    <row r="4" spans="1:11" ht="15" customHeight="1" x14ac:dyDescent="0.2">
      <c r="A4" s="2" t="s">
        <v>6</v>
      </c>
      <c r="B4" s="5">
        <v>0.9</v>
      </c>
      <c r="G4" s="3"/>
      <c r="H4" s="3"/>
      <c r="I4" s="3"/>
      <c r="J4" s="3"/>
      <c r="K4" s="3"/>
    </row>
    <row r="5" spans="1:11" ht="15" customHeight="1" x14ac:dyDescent="0.2">
      <c r="A5" s="2" t="s">
        <v>7</v>
      </c>
      <c r="B5" s="5">
        <v>25</v>
      </c>
      <c r="G5" s="3"/>
      <c r="H5" s="3"/>
      <c r="I5" s="3"/>
      <c r="J5" s="3"/>
      <c r="K5" s="3"/>
    </row>
    <row r="6" spans="1:11" ht="15" customHeight="1" x14ac:dyDescent="0.2">
      <c r="A6" s="2" t="s">
        <v>8</v>
      </c>
      <c r="B6" s="5">
        <v>0.1</v>
      </c>
      <c r="C6" s="5">
        <v>0.1</v>
      </c>
      <c r="D6" s="5">
        <v>0.1</v>
      </c>
      <c r="E6" s="5">
        <v>0.1</v>
      </c>
      <c r="F6" s="5">
        <v>0.1</v>
      </c>
      <c r="G6" s="5">
        <v>0.1</v>
      </c>
      <c r="H6" s="5">
        <v>0.1</v>
      </c>
      <c r="I6" s="5">
        <v>0.1</v>
      </c>
      <c r="J6" s="5">
        <v>0.1</v>
      </c>
      <c r="K6" s="5">
        <v>0.1</v>
      </c>
    </row>
    <row r="7" spans="1:11" ht="15" customHeight="1" x14ac:dyDescent="0.2">
      <c r="B7" s="5"/>
      <c r="C7" s="5"/>
      <c r="D7" s="5"/>
      <c r="E7" s="5"/>
      <c r="F7" s="5"/>
      <c r="G7" s="5"/>
      <c r="H7" s="5"/>
      <c r="I7" s="5"/>
      <c r="J7" s="5"/>
      <c r="K7" s="5"/>
    </row>
    <row r="8" spans="1:11" ht="15" customHeight="1" x14ac:dyDescent="0.2">
      <c r="B8" s="14" t="s">
        <v>1</v>
      </c>
      <c r="C8" s="14"/>
      <c r="D8" s="14"/>
      <c r="E8" s="14"/>
      <c r="F8" s="14"/>
      <c r="G8" s="14"/>
      <c r="H8" s="14"/>
      <c r="I8" s="14"/>
      <c r="J8" s="14"/>
      <c r="K8" s="14"/>
    </row>
    <row r="9" spans="1:11" ht="15" customHeight="1" x14ac:dyDescent="0.2">
      <c r="A9" s="6" t="s">
        <v>0</v>
      </c>
      <c r="B9" s="6">
        <v>1</v>
      </c>
      <c r="C9" s="6">
        <f>1+B9</f>
        <v>2</v>
      </c>
      <c r="D9" s="6">
        <f t="shared" ref="D9:K9" si="0">1+C9</f>
        <v>3</v>
      </c>
      <c r="E9" s="6">
        <f t="shared" si="0"/>
        <v>4</v>
      </c>
      <c r="F9" s="6">
        <f t="shared" si="0"/>
        <v>5</v>
      </c>
      <c r="G9" s="6">
        <f t="shared" si="0"/>
        <v>6</v>
      </c>
      <c r="H9" s="6">
        <f t="shared" si="0"/>
        <v>7</v>
      </c>
      <c r="I9" s="6">
        <f t="shared" si="0"/>
        <v>8</v>
      </c>
      <c r="J9" s="6">
        <f t="shared" si="0"/>
        <v>9</v>
      </c>
      <c r="K9" s="6">
        <f t="shared" si="0"/>
        <v>10</v>
      </c>
    </row>
    <row r="10" spans="1:11" ht="15" customHeight="1" x14ac:dyDescent="0.2">
      <c r="A10" s="2">
        <v>1</v>
      </c>
      <c r="B10" s="5" t="str">
        <f ca="1">IF(RAND()&lt;B$6,"C",IF(RAND()&gt;B$4,"D",1))</f>
        <v>C</v>
      </c>
      <c r="C10" s="5" t="str">
        <f ca="1">IF(OR(B10="D",B10="C",B10=""),"",IF(RAND()&lt;C$6,"C",IF(RAND()&gt;$B$4,"D",1)))</f>
        <v/>
      </c>
      <c r="D10" s="5" t="str">
        <f t="shared" ref="D10:K10" ca="1" si="1">IF(OR(C10="D",C10="C",C10=""),"",IF(RAND()&lt;D$6,"C",IF(RAND()&gt;$B$4,"D",1)))</f>
        <v/>
      </c>
      <c r="E10" s="5" t="str">
        <f t="shared" ca="1" si="1"/>
        <v/>
      </c>
      <c r="F10" s="5" t="str">
        <f t="shared" ca="1" si="1"/>
        <v/>
      </c>
      <c r="G10" s="5" t="str">
        <f t="shared" ca="1" si="1"/>
        <v/>
      </c>
      <c r="H10" s="5" t="str">
        <f t="shared" ca="1" si="1"/>
        <v/>
      </c>
      <c r="I10" s="5" t="str">
        <f t="shared" ca="1" si="1"/>
        <v/>
      </c>
      <c r="J10" s="5" t="str">
        <f t="shared" ca="1" si="1"/>
        <v/>
      </c>
      <c r="K10" s="5" t="str">
        <f t="shared" ca="1" si="1"/>
        <v/>
      </c>
    </row>
    <row r="11" spans="1:11" ht="15" customHeight="1" x14ac:dyDescent="0.2">
      <c r="A11" s="2">
        <f>1+A10</f>
        <v>2</v>
      </c>
      <c r="B11" s="5">
        <f t="shared" ref="B11:B34" ca="1" si="2">IF(RAND()&lt;B$6,"C",IF(RAND()&gt;B$4,"D",1))</f>
        <v>1</v>
      </c>
      <c r="C11" s="5" t="str">
        <f t="shared" ref="C11:K11" ca="1" si="3">IF(OR(B11="D",B11="C",B11=""),"",IF(RAND()&lt;C$6,"C",IF(RAND()&gt;$B$4,"D",1)))</f>
        <v>C</v>
      </c>
      <c r="D11" s="5" t="str">
        <f t="shared" ca="1" si="3"/>
        <v/>
      </c>
      <c r="E11" s="5" t="str">
        <f t="shared" ca="1" si="3"/>
        <v/>
      </c>
      <c r="F11" s="5" t="str">
        <f t="shared" ca="1" si="3"/>
        <v/>
      </c>
      <c r="G11" s="5" t="str">
        <f t="shared" ca="1" si="3"/>
        <v/>
      </c>
      <c r="H11" s="5" t="str">
        <f t="shared" ca="1" si="3"/>
        <v/>
      </c>
      <c r="I11" s="5" t="str">
        <f t="shared" ca="1" si="3"/>
        <v/>
      </c>
      <c r="J11" s="5" t="str">
        <f t="shared" ca="1" si="3"/>
        <v/>
      </c>
      <c r="K11" s="5" t="str">
        <f t="shared" ca="1" si="3"/>
        <v/>
      </c>
    </row>
    <row r="12" spans="1:11" ht="15" customHeight="1" x14ac:dyDescent="0.2">
      <c r="A12" s="2">
        <f t="shared" ref="A12:A34" si="4">1+A11</f>
        <v>3</v>
      </c>
      <c r="B12" s="5">
        <f t="shared" ca="1" si="2"/>
        <v>1</v>
      </c>
      <c r="C12" s="5">
        <f t="shared" ref="C12:K12" ca="1" si="5">IF(OR(B12="D",B12="C",B12=""),"",IF(RAND()&lt;C$6,"C",IF(RAND()&gt;$B$4,"D",1)))</f>
        <v>1</v>
      </c>
      <c r="D12" s="5" t="str">
        <f t="shared" ca="1" si="5"/>
        <v>C</v>
      </c>
      <c r="E12" s="5" t="str">
        <f t="shared" ca="1" si="5"/>
        <v/>
      </c>
      <c r="F12" s="5" t="str">
        <f t="shared" ca="1" si="5"/>
        <v/>
      </c>
      <c r="G12" s="5" t="str">
        <f t="shared" ca="1" si="5"/>
        <v/>
      </c>
      <c r="H12" s="5" t="str">
        <f t="shared" ca="1" si="5"/>
        <v/>
      </c>
      <c r="I12" s="5" t="str">
        <f t="shared" ca="1" si="5"/>
        <v/>
      </c>
      <c r="J12" s="5" t="str">
        <f t="shared" ca="1" si="5"/>
        <v/>
      </c>
      <c r="K12" s="5" t="str">
        <f t="shared" ca="1" si="5"/>
        <v/>
      </c>
    </row>
    <row r="13" spans="1:11" ht="15" customHeight="1" x14ac:dyDescent="0.2">
      <c r="A13" s="2">
        <f t="shared" si="4"/>
        <v>4</v>
      </c>
      <c r="B13" s="5">
        <f t="shared" ca="1" si="2"/>
        <v>1</v>
      </c>
      <c r="C13" s="5">
        <f t="shared" ref="C13:K13" ca="1" si="6">IF(OR(B13="D",B13="C",B13=""),"",IF(RAND()&lt;C$6,"C",IF(RAND()&gt;$B$4,"D",1)))</f>
        <v>1</v>
      </c>
      <c r="D13" s="5">
        <f t="shared" ca="1" si="6"/>
        <v>1</v>
      </c>
      <c r="E13" s="5">
        <f t="shared" ca="1" si="6"/>
        <v>1</v>
      </c>
      <c r="F13" s="5">
        <f t="shared" ca="1" si="6"/>
        <v>1</v>
      </c>
      <c r="G13" s="5" t="str">
        <f t="shared" ca="1" si="6"/>
        <v>D</v>
      </c>
      <c r="H13" s="5" t="str">
        <f t="shared" ca="1" si="6"/>
        <v/>
      </c>
      <c r="I13" s="5" t="str">
        <f t="shared" ca="1" si="6"/>
        <v/>
      </c>
      <c r="J13" s="5" t="str">
        <f t="shared" ca="1" si="6"/>
        <v/>
      </c>
      <c r="K13" s="5" t="str">
        <f t="shared" ca="1" si="6"/>
        <v/>
      </c>
    </row>
    <row r="14" spans="1:11" ht="15" customHeight="1" x14ac:dyDescent="0.2">
      <c r="A14" s="2">
        <f t="shared" si="4"/>
        <v>5</v>
      </c>
      <c r="B14" s="5" t="str">
        <f t="shared" ca="1" si="2"/>
        <v>C</v>
      </c>
      <c r="C14" s="5" t="str">
        <f t="shared" ref="C14:K14" ca="1" si="7">IF(OR(B14="D",B14="C",B14=""),"",IF(RAND()&lt;C$6,"C",IF(RAND()&gt;$B$4,"D",1)))</f>
        <v/>
      </c>
      <c r="D14" s="5" t="str">
        <f t="shared" ca="1" si="7"/>
        <v/>
      </c>
      <c r="E14" s="5" t="str">
        <f t="shared" ca="1" si="7"/>
        <v/>
      </c>
      <c r="F14" s="5" t="str">
        <f t="shared" ca="1" si="7"/>
        <v/>
      </c>
      <c r="G14" s="5" t="str">
        <f t="shared" ca="1" si="7"/>
        <v/>
      </c>
      <c r="H14" s="5" t="str">
        <f t="shared" ca="1" si="7"/>
        <v/>
      </c>
      <c r="I14" s="5" t="str">
        <f t="shared" ca="1" si="7"/>
        <v/>
      </c>
      <c r="J14" s="5" t="str">
        <f t="shared" ca="1" si="7"/>
        <v/>
      </c>
      <c r="K14" s="5" t="str">
        <f t="shared" ca="1" si="7"/>
        <v/>
      </c>
    </row>
    <row r="15" spans="1:11" ht="15" customHeight="1" x14ac:dyDescent="0.2">
      <c r="A15" s="2">
        <f t="shared" si="4"/>
        <v>6</v>
      </c>
      <c r="B15" s="5" t="str">
        <f t="shared" ca="1" si="2"/>
        <v>C</v>
      </c>
      <c r="C15" s="5" t="str">
        <f t="shared" ref="C15:K15" ca="1" si="8">IF(OR(B15="D",B15="C",B15=""),"",IF(RAND()&lt;C$6,"C",IF(RAND()&gt;$B$4,"D",1)))</f>
        <v/>
      </c>
      <c r="D15" s="5" t="str">
        <f t="shared" ca="1" si="8"/>
        <v/>
      </c>
      <c r="E15" s="5" t="str">
        <f t="shared" ca="1" si="8"/>
        <v/>
      </c>
      <c r="F15" s="5" t="str">
        <f t="shared" ca="1" si="8"/>
        <v/>
      </c>
      <c r="G15" s="5" t="str">
        <f t="shared" ca="1" si="8"/>
        <v/>
      </c>
      <c r="H15" s="5" t="str">
        <f t="shared" ca="1" si="8"/>
        <v/>
      </c>
      <c r="I15" s="5" t="str">
        <f t="shared" ca="1" si="8"/>
        <v/>
      </c>
      <c r="J15" s="5" t="str">
        <f t="shared" ca="1" si="8"/>
        <v/>
      </c>
      <c r="K15" s="5" t="str">
        <f t="shared" ca="1" si="8"/>
        <v/>
      </c>
    </row>
    <row r="16" spans="1:11" ht="15" customHeight="1" x14ac:dyDescent="0.2">
      <c r="A16" s="2">
        <f t="shared" si="4"/>
        <v>7</v>
      </c>
      <c r="B16" s="5">
        <f t="shared" ca="1" si="2"/>
        <v>1</v>
      </c>
      <c r="C16" s="5">
        <f t="shared" ref="C16:K16" ca="1" si="9">IF(OR(B16="D",B16="C",B16=""),"",IF(RAND()&lt;C$6,"C",IF(RAND()&gt;$B$4,"D",1)))</f>
        <v>1</v>
      </c>
      <c r="D16" s="5">
        <f t="shared" ca="1" si="9"/>
        <v>1</v>
      </c>
      <c r="E16" s="5">
        <f t="shared" ca="1" si="9"/>
        <v>1</v>
      </c>
      <c r="F16" s="5">
        <f t="shared" ca="1" si="9"/>
        <v>1</v>
      </c>
      <c r="G16" s="5">
        <f t="shared" ca="1" si="9"/>
        <v>1</v>
      </c>
      <c r="H16" s="5">
        <f t="shared" ca="1" si="9"/>
        <v>1</v>
      </c>
      <c r="I16" s="5">
        <f t="shared" ca="1" si="9"/>
        <v>1</v>
      </c>
      <c r="J16" s="5">
        <f t="shared" ca="1" si="9"/>
        <v>1</v>
      </c>
      <c r="K16" s="5">
        <f t="shared" ca="1" si="9"/>
        <v>1</v>
      </c>
    </row>
    <row r="17" spans="1:12" ht="15" customHeight="1" x14ac:dyDescent="0.2">
      <c r="A17" s="2">
        <f t="shared" si="4"/>
        <v>8</v>
      </c>
      <c r="B17" s="5">
        <f t="shared" ca="1" si="2"/>
        <v>1</v>
      </c>
      <c r="C17" s="5">
        <f t="shared" ref="C17:K17" ca="1" si="10">IF(OR(B17="D",B17="C",B17=""),"",IF(RAND()&lt;C$6,"C",IF(RAND()&gt;$B$4,"D",1)))</f>
        <v>1</v>
      </c>
      <c r="D17" s="5">
        <f t="shared" ca="1" si="10"/>
        <v>1</v>
      </c>
      <c r="E17" s="5">
        <f t="shared" ca="1" si="10"/>
        <v>1</v>
      </c>
      <c r="F17" s="5">
        <f t="shared" ca="1" si="10"/>
        <v>1</v>
      </c>
      <c r="G17" s="5">
        <f t="shared" ca="1" si="10"/>
        <v>1</v>
      </c>
      <c r="H17" s="5">
        <f t="shared" ca="1" si="10"/>
        <v>1</v>
      </c>
      <c r="I17" s="5">
        <f t="shared" ca="1" si="10"/>
        <v>1</v>
      </c>
      <c r="J17" s="5" t="str">
        <f t="shared" ca="1" si="10"/>
        <v>C</v>
      </c>
      <c r="K17" s="5" t="str">
        <f t="shared" ca="1" si="10"/>
        <v/>
      </c>
    </row>
    <row r="18" spans="1:12" ht="15" customHeight="1" x14ac:dyDescent="0.2">
      <c r="A18" s="2">
        <f t="shared" si="4"/>
        <v>9</v>
      </c>
      <c r="B18" s="5" t="str">
        <f t="shared" ca="1" si="2"/>
        <v>C</v>
      </c>
      <c r="C18" s="5" t="str">
        <f t="shared" ref="C18:K18" ca="1" si="11">IF(OR(B18="D",B18="C",B18=""),"",IF(RAND()&lt;C$6,"C",IF(RAND()&gt;$B$4,"D",1)))</f>
        <v/>
      </c>
      <c r="D18" s="5" t="str">
        <f t="shared" ca="1" si="11"/>
        <v/>
      </c>
      <c r="E18" s="5" t="str">
        <f t="shared" ca="1" si="11"/>
        <v/>
      </c>
      <c r="F18" s="5" t="str">
        <f t="shared" ca="1" si="11"/>
        <v/>
      </c>
      <c r="G18" s="5" t="str">
        <f t="shared" ca="1" si="11"/>
        <v/>
      </c>
      <c r="H18" s="5" t="str">
        <f t="shared" ca="1" si="11"/>
        <v/>
      </c>
      <c r="I18" s="5" t="str">
        <f t="shared" ca="1" si="11"/>
        <v/>
      </c>
      <c r="J18" s="5" t="str">
        <f t="shared" ca="1" si="11"/>
        <v/>
      </c>
      <c r="K18" s="5" t="str">
        <f t="shared" ca="1" si="11"/>
        <v/>
      </c>
    </row>
    <row r="19" spans="1:12" ht="15" customHeight="1" x14ac:dyDescent="0.2">
      <c r="A19" s="2">
        <f t="shared" si="4"/>
        <v>10</v>
      </c>
      <c r="B19" s="5">
        <f t="shared" ca="1" si="2"/>
        <v>1</v>
      </c>
      <c r="C19" s="5">
        <f t="shared" ref="C19:K19" ca="1" si="12">IF(OR(B19="D",B19="C",B19=""),"",IF(RAND()&lt;C$6,"C",IF(RAND()&gt;$B$4,"D",1)))</f>
        <v>1</v>
      </c>
      <c r="D19" s="5">
        <f t="shared" ca="1" si="12"/>
        <v>1</v>
      </c>
      <c r="E19" s="5" t="str">
        <f t="shared" ca="1" si="12"/>
        <v>D</v>
      </c>
      <c r="F19" s="5" t="str">
        <f t="shared" ca="1" si="12"/>
        <v/>
      </c>
      <c r="G19" s="5" t="str">
        <f t="shared" ca="1" si="12"/>
        <v/>
      </c>
      <c r="H19" s="5" t="str">
        <f t="shared" ca="1" si="12"/>
        <v/>
      </c>
      <c r="I19" s="5" t="str">
        <f t="shared" ca="1" si="12"/>
        <v/>
      </c>
      <c r="J19" s="5" t="str">
        <f t="shared" ca="1" si="12"/>
        <v/>
      </c>
      <c r="K19" s="5" t="str">
        <f t="shared" ca="1" si="12"/>
        <v/>
      </c>
    </row>
    <row r="20" spans="1:12" ht="15" customHeight="1" x14ac:dyDescent="0.2">
      <c r="A20" s="2">
        <f t="shared" si="4"/>
        <v>11</v>
      </c>
      <c r="B20" s="5">
        <f t="shared" ca="1" si="2"/>
        <v>1</v>
      </c>
      <c r="C20" s="5" t="str">
        <f t="shared" ref="C20:K20" ca="1" si="13">IF(OR(B20="D",B20="C",B20=""),"",IF(RAND()&lt;C$6,"C",IF(RAND()&gt;$B$4,"D",1)))</f>
        <v>D</v>
      </c>
      <c r="D20" s="5" t="str">
        <f t="shared" ca="1" si="13"/>
        <v/>
      </c>
      <c r="E20" s="5" t="str">
        <f t="shared" ca="1" si="13"/>
        <v/>
      </c>
      <c r="F20" s="5" t="str">
        <f t="shared" ca="1" si="13"/>
        <v/>
      </c>
      <c r="G20" s="5" t="str">
        <f t="shared" ca="1" si="13"/>
        <v/>
      </c>
      <c r="H20" s="5" t="str">
        <f t="shared" ca="1" si="13"/>
        <v/>
      </c>
      <c r="I20" s="5" t="str">
        <f t="shared" ca="1" si="13"/>
        <v/>
      </c>
      <c r="J20" s="5" t="str">
        <f t="shared" ca="1" si="13"/>
        <v/>
      </c>
      <c r="K20" s="5" t="str">
        <f t="shared" ca="1" si="13"/>
        <v/>
      </c>
    </row>
    <row r="21" spans="1:12" ht="15" customHeight="1" x14ac:dyDescent="0.2">
      <c r="A21" s="2">
        <f t="shared" si="4"/>
        <v>12</v>
      </c>
      <c r="B21" s="5" t="str">
        <f t="shared" ca="1" si="2"/>
        <v>C</v>
      </c>
      <c r="C21" s="5" t="str">
        <f t="shared" ref="C21:K21" ca="1" si="14">IF(OR(B21="D",B21="C",B21=""),"",IF(RAND()&lt;C$6,"C",IF(RAND()&gt;$B$4,"D",1)))</f>
        <v/>
      </c>
      <c r="D21" s="5" t="str">
        <f t="shared" ca="1" si="14"/>
        <v/>
      </c>
      <c r="E21" s="5" t="str">
        <f t="shared" ca="1" si="14"/>
        <v/>
      </c>
      <c r="F21" s="5" t="str">
        <f t="shared" ca="1" si="14"/>
        <v/>
      </c>
      <c r="G21" s="5" t="str">
        <f t="shared" ca="1" si="14"/>
        <v/>
      </c>
      <c r="H21" s="5" t="str">
        <f t="shared" ca="1" si="14"/>
        <v/>
      </c>
      <c r="I21" s="5" t="str">
        <f t="shared" ca="1" si="14"/>
        <v/>
      </c>
      <c r="J21" s="5" t="str">
        <f t="shared" ca="1" si="14"/>
        <v/>
      </c>
      <c r="K21" s="5" t="str">
        <f t="shared" ca="1" si="14"/>
        <v/>
      </c>
    </row>
    <row r="22" spans="1:12" ht="15" customHeight="1" x14ac:dyDescent="0.2">
      <c r="A22" s="2">
        <f t="shared" si="4"/>
        <v>13</v>
      </c>
      <c r="B22" s="5">
        <f t="shared" ca="1" si="2"/>
        <v>1</v>
      </c>
      <c r="C22" s="5" t="str">
        <f t="shared" ref="C22:K22" ca="1" si="15">IF(OR(B22="D",B22="C",B22=""),"",IF(RAND()&lt;C$6,"C",IF(RAND()&gt;$B$4,"D",1)))</f>
        <v>C</v>
      </c>
      <c r="D22" s="5" t="str">
        <f t="shared" ca="1" si="15"/>
        <v/>
      </c>
      <c r="E22" s="5" t="str">
        <f t="shared" ca="1" si="15"/>
        <v/>
      </c>
      <c r="F22" s="5" t="str">
        <f t="shared" ca="1" si="15"/>
        <v/>
      </c>
      <c r="G22" s="5" t="str">
        <f t="shared" ca="1" si="15"/>
        <v/>
      </c>
      <c r="H22" s="5" t="str">
        <f t="shared" ca="1" si="15"/>
        <v/>
      </c>
      <c r="I22" s="5" t="str">
        <f t="shared" ca="1" si="15"/>
        <v/>
      </c>
      <c r="J22" s="5" t="str">
        <f t="shared" ca="1" si="15"/>
        <v/>
      </c>
      <c r="K22" s="5" t="str">
        <f t="shared" ca="1" si="15"/>
        <v/>
      </c>
    </row>
    <row r="23" spans="1:12" ht="15" customHeight="1" x14ac:dyDescent="0.2">
      <c r="A23" s="2">
        <f>1+A22</f>
        <v>14</v>
      </c>
      <c r="B23" s="5">
        <f t="shared" ca="1" si="2"/>
        <v>1</v>
      </c>
      <c r="C23" s="5">
        <f t="shared" ref="C23:K23" ca="1" si="16">IF(OR(B23="D",B23="C",B23=""),"",IF(RAND()&lt;C$6,"C",IF(RAND()&gt;$B$4,"D",1)))</f>
        <v>1</v>
      </c>
      <c r="D23" s="5">
        <f t="shared" ca="1" si="16"/>
        <v>1</v>
      </c>
      <c r="E23" s="5">
        <f t="shared" ca="1" si="16"/>
        <v>1</v>
      </c>
      <c r="F23" s="5">
        <f t="shared" ca="1" si="16"/>
        <v>1</v>
      </c>
      <c r="G23" s="5">
        <f t="shared" ca="1" si="16"/>
        <v>1</v>
      </c>
      <c r="H23" s="5" t="str">
        <f t="shared" ca="1" si="16"/>
        <v>D</v>
      </c>
      <c r="I23" s="5" t="str">
        <f t="shared" ca="1" si="16"/>
        <v/>
      </c>
      <c r="J23" s="5" t="str">
        <f t="shared" ca="1" si="16"/>
        <v/>
      </c>
      <c r="K23" s="5" t="str">
        <f t="shared" ca="1" si="16"/>
        <v/>
      </c>
    </row>
    <row r="24" spans="1:12" ht="15" customHeight="1" x14ac:dyDescent="0.2">
      <c r="A24" s="2">
        <f t="shared" si="4"/>
        <v>15</v>
      </c>
      <c r="B24" s="5">
        <f t="shared" ca="1" si="2"/>
        <v>1</v>
      </c>
      <c r="C24" s="5">
        <f t="shared" ref="C24:K24" ca="1" si="17">IF(OR(B24="D",B24="C",B24=""),"",IF(RAND()&lt;C$6,"C",IF(RAND()&gt;$B$4,"D",1)))</f>
        <v>1</v>
      </c>
      <c r="D24" s="5" t="str">
        <f t="shared" ca="1" si="17"/>
        <v>D</v>
      </c>
      <c r="E24" s="5" t="str">
        <f t="shared" ca="1" si="17"/>
        <v/>
      </c>
      <c r="F24" s="5" t="str">
        <f t="shared" ca="1" si="17"/>
        <v/>
      </c>
      <c r="G24" s="5" t="str">
        <f t="shared" ca="1" si="17"/>
        <v/>
      </c>
      <c r="H24" s="5" t="str">
        <f t="shared" ca="1" si="17"/>
        <v/>
      </c>
      <c r="I24" s="5" t="str">
        <f t="shared" ca="1" si="17"/>
        <v/>
      </c>
      <c r="J24" s="5" t="str">
        <f t="shared" ca="1" si="17"/>
        <v/>
      </c>
      <c r="K24" s="5" t="str">
        <f t="shared" ca="1" si="17"/>
        <v/>
      </c>
    </row>
    <row r="25" spans="1:12" ht="15" customHeight="1" x14ac:dyDescent="0.2">
      <c r="A25" s="2">
        <f t="shared" si="4"/>
        <v>16</v>
      </c>
      <c r="B25" s="5">
        <f t="shared" ca="1" si="2"/>
        <v>1</v>
      </c>
      <c r="C25" s="5">
        <f t="shared" ref="C25:K25" ca="1" si="18">IF(OR(B25="D",B25="C",B25=""),"",IF(RAND()&lt;C$6,"C",IF(RAND()&gt;$B$4,"D",1)))</f>
        <v>1</v>
      </c>
      <c r="D25" s="5" t="str">
        <f t="shared" ca="1" si="18"/>
        <v>D</v>
      </c>
      <c r="E25" s="5" t="str">
        <f t="shared" ca="1" si="18"/>
        <v/>
      </c>
      <c r="F25" s="5" t="str">
        <f t="shared" ca="1" si="18"/>
        <v/>
      </c>
      <c r="G25" s="5" t="str">
        <f t="shared" ca="1" si="18"/>
        <v/>
      </c>
      <c r="H25" s="5" t="str">
        <f t="shared" ca="1" si="18"/>
        <v/>
      </c>
      <c r="I25" s="5" t="str">
        <f t="shared" ca="1" si="18"/>
        <v/>
      </c>
      <c r="J25" s="5" t="str">
        <f t="shared" ca="1" si="18"/>
        <v/>
      </c>
      <c r="K25" s="5" t="str">
        <f t="shared" ca="1" si="18"/>
        <v/>
      </c>
    </row>
    <row r="26" spans="1:12" ht="15" customHeight="1" x14ac:dyDescent="0.2">
      <c r="A26" s="2">
        <f t="shared" si="4"/>
        <v>17</v>
      </c>
      <c r="B26" s="5">
        <f t="shared" ca="1" si="2"/>
        <v>1</v>
      </c>
      <c r="C26" s="5">
        <f t="shared" ref="C26:K26" ca="1" si="19">IF(OR(B26="D",B26="C",B26=""),"",IF(RAND()&lt;C$6,"C",IF(RAND()&gt;$B$4,"D",1)))</f>
        <v>1</v>
      </c>
      <c r="D26" s="5">
        <f t="shared" ca="1" si="19"/>
        <v>1</v>
      </c>
      <c r="E26" s="5">
        <f t="shared" ca="1" si="19"/>
        <v>1</v>
      </c>
      <c r="F26" s="5" t="str">
        <f t="shared" ca="1" si="19"/>
        <v>C</v>
      </c>
      <c r="G26" s="5" t="str">
        <f t="shared" ca="1" si="19"/>
        <v/>
      </c>
      <c r="H26" s="5" t="str">
        <f t="shared" ca="1" si="19"/>
        <v/>
      </c>
      <c r="I26" s="5" t="str">
        <f t="shared" ca="1" si="19"/>
        <v/>
      </c>
      <c r="J26" s="5" t="str">
        <f t="shared" ca="1" si="19"/>
        <v/>
      </c>
      <c r="K26" s="5" t="str">
        <f t="shared" ca="1" si="19"/>
        <v/>
      </c>
    </row>
    <row r="27" spans="1:12" ht="15" customHeight="1" x14ac:dyDescent="0.2">
      <c r="A27" s="2">
        <f t="shared" si="4"/>
        <v>18</v>
      </c>
      <c r="B27" s="5" t="str">
        <f t="shared" ca="1" si="2"/>
        <v>C</v>
      </c>
      <c r="C27" s="5" t="str">
        <f t="shared" ref="C27:K27" ca="1" si="20">IF(OR(B27="D",B27="C",B27=""),"",IF(RAND()&lt;C$6,"C",IF(RAND()&gt;$B$4,"D",1)))</f>
        <v/>
      </c>
      <c r="D27" s="5" t="str">
        <f t="shared" ca="1" si="20"/>
        <v/>
      </c>
      <c r="E27" s="5" t="str">
        <f t="shared" ca="1" si="20"/>
        <v/>
      </c>
      <c r="F27" s="5" t="str">
        <f t="shared" ca="1" si="20"/>
        <v/>
      </c>
      <c r="G27" s="5" t="str">
        <f t="shared" ca="1" si="20"/>
        <v/>
      </c>
      <c r="H27" s="5" t="str">
        <f t="shared" ca="1" si="20"/>
        <v/>
      </c>
      <c r="I27" s="5" t="str">
        <f t="shared" ca="1" si="20"/>
        <v/>
      </c>
      <c r="J27" s="5" t="str">
        <f t="shared" ca="1" si="20"/>
        <v/>
      </c>
      <c r="K27" s="5" t="str">
        <f t="shared" ca="1" si="20"/>
        <v/>
      </c>
    </row>
    <row r="28" spans="1:12" ht="15" customHeight="1" x14ac:dyDescent="0.2">
      <c r="A28" s="2">
        <f t="shared" si="4"/>
        <v>19</v>
      </c>
      <c r="B28" s="5" t="str">
        <f t="shared" ca="1" si="2"/>
        <v>D</v>
      </c>
      <c r="C28" s="5" t="str">
        <f t="shared" ref="C28:K28" ca="1" si="21">IF(OR(B28="D",B28="C",B28=""),"",IF(RAND()&lt;C$6,"C",IF(RAND()&gt;$B$4,"D",1)))</f>
        <v/>
      </c>
      <c r="D28" s="5" t="str">
        <f t="shared" ca="1" si="21"/>
        <v/>
      </c>
      <c r="E28" s="5" t="str">
        <f t="shared" ca="1" si="21"/>
        <v/>
      </c>
      <c r="F28" s="5" t="str">
        <f t="shared" ca="1" si="21"/>
        <v/>
      </c>
      <c r="G28" s="5" t="str">
        <f t="shared" ca="1" si="21"/>
        <v/>
      </c>
      <c r="H28" s="5" t="str">
        <f t="shared" ca="1" si="21"/>
        <v/>
      </c>
      <c r="I28" s="5" t="str">
        <f t="shared" ca="1" si="21"/>
        <v/>
      </c>
      <c r="J28" s="5" t="str">
        <f t="shared" ca="1" si="21"/>
        <v/>
      </c>
      <c r="K28" s="5" t="str">
        <f t="shared" ca="1" si="21"/>
        <v/>
      </c>
    </row>
    <row r="29" spans="1:12" ht="15" customHeight="1" x14ac:dyDescent="0.2">
      <c r="A29" s="2">
        <f t="shared" si="4"/>
        <v>20</v>
      </c>
      <c r="B29" s="5">
        <f t="shared" ca="1" si="2"/>
        <v>1</v>
      </c>
      <c r="C29" s="5">
        <f t="shared" ref="C29:K29" ca="1" si="22">IF(OR(B29="D",B29="C",B29=""),"",IF(RAND()&lt;C$6,"C",IF(RAND()&gt;$B$4,"D",1)))</f>
        <v>1</v>
      </c>
      <c r="D29" s="5">
        <f t="shared" ca="1" si="22"/>
        <v>1</v>
      </c>
      <c r="E29" s="5">
        <f t="shared" ca="1" si="22"/>
        <v>1</v>
      </c>
      <c r="F29" s="5" t="str">
        <f t="shared" ca="1" si="22"/>
        <v>C</v>
      </c>
      <c r="G29" s="5" t="str">
        <f t="shared" ca="1" si="22"/>
        <v/>
      </c>
      <c r="H29" s="5" t="str">
        <f t="shared" ca="1" si="22"/>
        <v/>
      </c>
      <c r="I29" s="5" t="str">
        <f t="shared" ca="1" si="22"/>
        <v/>
      </c>
      <c r="J29" s="5" t="str">
        <f t="shared" ca="1" si="22"/>
        <v/>
      </c>
      <c r="K29" s="5" t="str">
        <f t="shared" ca="1" si="22"/>
        <v/>
      </c>
    </row>
    <row r="30" spans="1:12" ht="15" customHeight="1" x14ac:dyDescent="0.2">
      <c r="A30" s="2">
        <f t="shared" si="4"/>
        <v>21</v>
      </c>
      <c r="B30" s="5" t="str">
        <f t="shared" ca="1" si="2"/>
        <v>C</v>
      </c>
      <c r="C30" s="5" t="str">
        <f t="shared" ref="C30:K30" ca="1" si="23">IF(OR(B30="D",B30="C",B30=""),"",IF(RAND()&lt;C$6,"C",IF(RAND()&gt;$B$4,"D",1)))</f>
        <v/>
      </c>
      <c r="D30" s="5" t="str">
        <f t="shared" ca="1" si="23"/>
        <v/>
      </c>
      <c r="E30" s="5" t="str">
        <f t="shared" ca="1" si="23"/>
        <v/>
      </c>
      <c r="F30" s="5" t="str">
        <f t="shared" ca="1" si="23"/>
        <v/>
      </c>
      <c r="G30" s="5" t="str">
        <f t="shared" ca="1" si="23"/>
        <v/>
      </c>
      <c r="H30" s="5" t="str">
        <f t="shared" ca="1" si="23"/>
        <v/>
      </c>
      <c r="I30" s="5" t="str">
        <f t="shared" ca="1" si="23"/>
        <v/>
      </c>
      <c r="J30" s="5" t="str">
        <f t="shared" ca="1" si="23"/>
        <v/>
      </c>
      <c r="K30" s="5" t="str">
        <f t="shared" ca="1" si="23"/>
        <v/>
      </c>
      <c r="L30" s="12"/>
    </row>
    <row r="31" spans="1:12" ht="15" customHeight="1" x14ac:dyDescent="0.2">
      <c r="A31" s="2">
        <f t="shared" si="4"/>
        <v>22</v>
      </c>
      <c r="B31" s="5">
        <f t="shared" ca="1" si="2"/>
        <v>1</v>
      </c>
      <c r="C31" s="5">
        <f t="shared" ref="C31:K31" ca="1" si="24">IF(OR(B31="D",B31="C",B31=""),"",IF(RAND()&lt;C$6,"C",IF(RAND()&gt;$B$4,"D",1)))</f>
        <v>1</v>
      </c>
      <c r="D31" s="5">
        <f t="shared" ca="1" si="24"/>
        <v>1</v>
      </c>
      <c r="E31" s="5">
        <f t="shared" ca="1" si="24"/>
        <v>1</v>
      </c>
      <c r="F31" s="5">
        <f t="shared" ca="1" si="24"/>
        <v>1</v>
      </c>
      <c r="G31" s="5">
        <f t="shared" ca="1" si="24"/>
        <v>1</v>
      </c>
      <c r="H31" s="5">
        <f t="shared" ca="1" si="24"/>
        <v>1</v>
      </c>
      <c r="I31" s="5" t="str">
        <f t="shared" ca="1" si="24"/>
        <v>D</v>
      </c>
      <c r="J31" s="5" t="str">
        <f t="shared" ca="1" si="24"/>
        <v/>
      </c>
      <c r="K31" s="5" t="str">
        <f t="shared" ca="1" si="24"/>
        <v/>
      </c>
    </row>
    <row r="32" spans="1:12" ht="15" customHeight="1" x14ac:dyDescent="0.2">
      <c r="A32" s="2">
        <f t="shared" si="4"/>
        <v>23</v>
      </c>
      <c r="B32" s="5">
        <f t="shared" ca="1" si="2"/>
        <v>1</v>
      </c>
      <c r="C32" s="5">
        <f t="shared" ref="C32:K32" ca="1" si="25">IF(OR(B32="D",B32="C",B32=""),"",IF(RAND()&lt;C$6,"C",IF(RAND()&gt;$B$4,"D",1)))</f>
        <v>1</v>
      </c>
      <c r="D32" s="5">
        <f t="shared" ca="1" si="25"/>
        <v>1</v>
      </c>
      <c r="E32" s="5">
        <f t="shared" ca="1" si="25"/>
        <v>1</v>
      </c>
      <c r="F32" s="5" t="str">
        <f t="shared" ca="1" si="25"/>
        <v>D</v>
      </c>
      <c r="G32" s="5" t="str">
        <f t="shared" ca="1" si="25"/>
        <v/>
      </c>
      <c r="H32" s="5" t="str">
        <f t="shared" ca="1" si="25"/>
        <v/>
      </c>
      <c r="I32" s="5" t="str">
        <f t="shared" ca="1" si="25"/>
        <v/>
      </c>
      <c r="J32" s="5" t="str">
        <f t="shared" ca="1" si="25"/>
        <v/>
      </c>
      <c r="K32" s="5" t="str">
        <f t="shared" ca="1" si="25"/>
        <v/>
      </c>
    </row>
    <row r="33" spans="1:14" ht="15" customHeight="1" x14ac:dyDescent="0.2">
      <c r="A33" s="2">
        <f t="shared" si="4"/>
        <v>24</v>
      </c>
      <c r="B33" s="5">
        <f t="shared" ca="1" si="2"/>
        <v>1</v>
      </c>
      <c r="C33" s="5">
        <f t="shared" ref="C33:K33" ca="1" si="26">IF(OR(B33="D",B33="C",B33=""),"",IF(RAND()&lt;C$6,"C",IF(RAND()&gt;$B$4,"D",1)))</f>
        <v>1</v>
      </c>
      <c r="D33" s="5">
        <f t="shared" ca="1" si="26"/>
        <v>1</v>
      </c>
      <c r="E33" s="5">
        <f t="shared" ca="1" si="26"/>
        <v>1</v>
      </c>
      <c r="F33" s="5" t="str">
        <f t="shared" ca="1" si="26"/>
        <v>D</v>
      </c>
      <c r="G33" s="5" t="str">
        <f t="shared" ca="1" si="26"/>
        <v/>
      </c>
      <c r="H33" s="5" t="str">
        <f t="shared" ca="1" si="26"/>
        <v/>
      </c>
      <c r="I33" s="5" t="str">
        <f t="shared" ca="1" si="26"/>
        <v/>
      </c>
      <c r="J33" s="5" t="str">
        <f t="shared" ca="1" si="26"/>
        <v/>
      </c>
      <c r="K33" s="5" t="str">
        <f t="shared" ca="1" si="26"/>
        <v/>
      </c>
    </row>
    <row r="34" spans="1:14" ht="15" customHeight="1" x14ac:dyDescent="0.2">
      <c r="A34" s="2">
        <f t="shared" si="4"/>
        <v>25</v>
      </c>
      <c r="B34" s="5">
        <f t="shared" ca="1" si="2"/>
        <v>1</v>
      </c>
      <c r="C34" s="5">
        <f t="shared" ref="C34:K34" ca="1" si="27">IF(OR(B34="D",B34="C",B34=""),"",IF(RAND()&lt;C$6,"C",IF(RAND()&gt;$B$4,"D",1)))</f>
        <v>1</v>
      </c>
      <c r="D34" s="5">
        <f t="shared" ca="1" si="27"/>
        <v>1</v>
      </c>
      <c r="E34" s="5">
        <f t="shared" ca="1" si="27"/>
        <v>1</v>
      </c>
      <c r="F34" s="5">
        <f t="shared" ca="1" si="27"/>
        <v>1</v>
      </c>
      <c r="G34" s="5" t="str">
        <f t="shared" ca="1" si="27"/>
        <v>D</v>
      </c>
      <c r="H34" s="5" t="str">
        <f t="shared" ca="1" si="27"/>
        <v/>
      </c>
      <c r="I34" s="5" t="str">
        <f t="shared" ca="1" si="27"/>
        <v/>
      </c>
      <c r="J34" s="5" t="str">
        <f t="shared" ca="1" si="27"/>
        <v/>
      </c>
      <c r="K34" s="5" t="str">
        <f t="shared" ca="1" si="27"/>
        <v/>
      </c>
    </row>
    <row r="35" spans="1:14" ht="15" customHeight="1" x14ac:dyDescent="0.2">
      <c r="A35" s="10" t="s">
        <v>9</v>
      </c>
      <c r="B35" s="7">
        <f>B5</f>
        <v>25</v>
      </c>
      <c r="C35" s="7">
        <f ca="1">B35-(B36+B37)</f>
        <v>17</v>
      </c>
      <c r="D35" s="7">
        <f t="shared" ref="D35:K35" ca="1" si="28">C35-(C36+C37)</f>
        <v>14</v>
      </c>
      <c r="E35" s="7">
        <f t="shared" ca="1" si="28"/>
        <v>11</v>
      </c>
      <c r="F35" s="7">
        <f t="shared" ca="1" si="28"/>
        <v>10</v>
      </c>
      <c r="G35" s="7">
        <f t="shared" ca="1" si="28"/>
        <v>6</v>
      </c>
      <c r="H35" s="7">
        <f t="shared" ca="1" si="28"/>
        <v>4</v>
      </c>
      <c r="I35" s="7">
        <f t="shared" ca="1" si="28"/>
        <v>3</v>
      </c>
      <c r="J35" s="7">
        <f t="shared" ca="1" si="28"/>
        <v>2</v>
      </c>
      <c r="K35" s="7">
        <f t="shared" ca="1" si="28"/>
        <v>1</v>
      </c>
    </row>
    <row r="36" spans="1:14" ht="15" customHeight="1" x14ac:dyDescent="0.2">
      <c r="A36" s="10" t="s">
        <v>10</v>
      </c>
      <c r="B36" s="7">
        <f ca="1">COUNTIF(B10:B34,"=D")</f>
        <v>1</v>
      </c>
      <c r="C36" s="7">
        <f ca="1">COUNTIF(C10:C34,"=D")</f>
        <v>1</v>
      </c>
      <c r="D36" s="7">
        <f t="shared" ref="D36:K36" ca="1" si="29">COUNTIF(D10:D34,"=D")</f>
        <v>2</v>
      </c>
      <c r="E36" s="7">
        <f t="shared" ca="1" si="29"/>
        <v>1</v>
      </c>
      <c r="F36" s="7">
        <f t="shared" ca="1" si="29"/>
        <v>2</v>
      </c>
      <c r="G36" s="7">
        <f t="shared" ca="1" si="29"/>
        <v>2</v>
      </c>
      <c r="H36" s="7">
        <f t="shared" ca="1" si="29"/>
        <v>1</v>
      </c>
      <c r="I36" s="7">
        <f t="shared" ca="1" si="29"/>
        <v>1</v>
      </c>
      <c r="J36" s="7">
        <f t="shared" ca="1" si="29"/>
        <v>0</v>
      </c>
      <c r="K36" s="7">
        <f t="shared" ca="1" si="29"/>
        <v>0</v>
      </c>
    </row>
    <row r="37" spans="1:14" ht="15" customHeight="1" x14ac:dyDescent="0.2">
      <c r="A37" s="10" t="s">
        <v>11</v>
      </c>
      <c r="B37" s="7">
        <f ca="1">COUNTIF(B10:B34,"=C")</f>
        <v>7</v>
      </c>
      <c r="C37" s="7">
        <f t="shared" ref="C37:K37" ca="1" si="30">COUNTIF(C10:C34,"=C")</f>
        <v>2</v>
      </c>
      <c r="D37" s="7">
        <f t="shared" ca="1" si="30"/>
        <v>1</v>
      </c>
      <c r="E37" s="7">
        <f t="shared" ca="1" si="30"/>
        <v>0</v>
      </c>
      <c r="F37" s="7">
        <f t="shared" ca="1" si="30"/>
        <v>2</v>
      </c>
      <c r="G37" s="7">
        <f t="shared" ca="1" si="30"/>
        <v>0</v>
      </c>
      <c r="H37" s="7">
        <f t="shared" ca="1" si="30"/>
        <v>0</v>
      </c>
      <c r="I37" s="7">
        <f t="shared" ca="1" si="30"/>
        <v>0</v>
      </c>
      <c r="J37" s="7">
        <f t="shared" ca="1" si="30"/>
        <v>1</v>
      </c>
      <c r="K37" s="7">
        <f t="shared" ca="1" si="30"/>
        <v>0</v>
      </c>
    </row>
    <row r="38" spans="1:14" ht="15" customHeight="1" x14ac:dyDescent="0.2">
      <c r="A38" s="10" t="s">
        <v>13</v>
      </c>
      <c r="B38" s="7">
        <f ca="1">1-(B36/B35)</f>
        <v>0.96</v>
      </c>
      <c r="C38" s="7">
        <f ca="1">1-(C36/C35)</f>
        <v>0.94117647058823528</v>
      </c>
      <c r="D38" s="7">
        <f t="shared" ref="D38:K38" ca="1" si="31">1-(D36/D35)</f>
        <v>0.85714285714285721</v>
      </c>
      <c r="E38" s="7">
        <f t="shared" ca="1" si="31"/>
        <v>0.90909090909090906</v>
      </c>
      <c r="F38" s="7">
        <f t="shared" ca="1" si="31"/>
        <v>0.8</v>
      </c>
      <c r="G38" s="7">
        <f t="shared" ca="1" si="31"/>
        <v>0.66666666666666674</v>
      </c>
      <c r="H38" s="7">
        <f t="shared" ca="1" si="31"/>
        <v>0.75</v>
      </c>
      <c r="I38" s="7">
        <f t="shared" ca="1" si="31"/>
        <v>0.66666666666666674</v>
      </c>
      <c r="J38" s="7">
        <f t="shared" ca="1" si="31"/>
        <v>1</v>
      </c>
      <c r="K38" s="7">
        <f t="shared" ca="1" si="31"/>
        <v>1</v>
      </c>
    </row>
    <row r="39" spans="1:14" ht="15" customHeight="1" x14ac:dyDescent="0.2">
      <c r="A39" s="10" t="s">
        <v>12</v>
      </c>
      <c r="B39" s="7">
        <f ca="1">PRODUCT($B$38:B38)</f>
        <v>0.96</v>
      </c>
      <c r="C39" s="7">
        <f ca="1">PRODUCT($B$38:C38)</f>
        <v>0.9035294117647058</v>
      </c>
      <c r="D39" s="7">
        <f ca="1">PRODUCT($B$38:D38)</f>
        <v>0.77445378151260502</v>
      </c>
      <c r="E39" s="7">
        <f ca="1">PRODUCT($B$38:E38)</f>
        <v>0.70404889228418632</v>
      </c>
      <c r="F39" s="7">
        <f ca="1">PRODUCT($B$38:F38)</f>
        <v>0.56323911382734904</v>
      </c>
      <c r="G39" s="7">
        <f ca="1">PRODUCT($B$38:G38)</f>
        <v>0.37549274255156606</v>
      </c>
      <c r="H39" s="7">
        <f ca="1">PRODUCT($B$38:H38)</f>
        <v>0.28161955691367457</v>
      </c>
      <c r="I39" s="7">
        <f ca="1">PRODUCT($B$38:I38)</f>
        <v>0.18774637127578306</v>
      </c>
      <c r="J39" s="7">
        <f ca="1">PRODUCT($B$38:J38)</f>
        <v>0.18774637127578306</v>
      </c>
      <c r="K39" s="7">
        <f ca="1">PRODUCT($B$38:K38)</f>
        <v>0.18774637127578306</v>
      </c>
    </row>
    <row r="40" spans="1:14" ht="15" customHeight="1" x14ac:dyDescent="0.2">
      <c r="A40" s="10" t="s">
        <v>14</v>
      </c>
      <c r="B40" s="7">
        <f>$B$4^B9</f>
        <v>0.9</v>
      </c>
      <c r="C40" s="7">
        <f>$B$4^C9</f>
        <v>0.81</v>
      </c>
      <c r="D40" s="7">
        <f t="shared" ref="D40:K40" si="32">$B$4^D9</f>
        <v>0.72900000000000009</v>
      </c>
      <c r="E40" s="7">
        <f t="shared" si="32"/>
        <v>0.65610000000000013</v>
      </c>
      <c r="F40" s="7">
        <f t="shared" si="32"/>
        <v>0.59049000000000018</v>
      </c>
      <c r="G40" s="7">
        <f t="shared" si="32"/>
        <v>0.53144100000000016</v>
      </c>
      <c r="H40" s="7">
        <f t="shared" si="32"/>
        <v>0.47829690000000014</v>
      </c>
      <c r="I40" s="7">
        <f t="shared" si="32"/>
        <v>0.43046721000000016</v>
      </c>
      <c r="J40" s="7">
        <f t="shared" si="32"/>
        <v>0.38742048900000015</v>
      </c>
      <c r="K40" s="7">
        <f t="shared" si="32"/>
        <v>0.34867844010000015</v>
      </c>
    </row>
    <row r="41" spans="1:14" ht="15" customHeight="1" x14ac:dyDescent="0.2">
      <c r="A41" s="10" t="s">
        <v>15</v>
      </c>
      <c r="B41" s="8">
        <f ca="1">B39^(1/B9)</f>
        <v>0.96</v>
      </c>
      <c r="C41" s="8">
        <f t="shared" ref="C41:K41" ca="1" si="33">C39^(1/C9)</f>
        <v>0.95054164125760732</v>
      </c>
      <c r="D41" s="8">
        <f t="shared" ca="1" si="33"/>
        <v>0.91832942798396333</v>
      </c>
      <c r="E41" s="8">
        <f t="shared" ca="1" si="33"/>
        <v>0.91601103357585101</v>
      </c>
      <c r="F41" s="8">
        <f t="shared" ca="1" si="33"/>
        <v>0.89153533639260596</v>
      </c>
      <c r="G41" s="8">
        <f t="shared" ca="1" si="33"/>
        <v>0.84937653299156646</v>
      </c>
      <c r="H41" s="8">
        <f t="shared" ca="1" si="33"/>
        <v>0.83441173165428251</v>
      </c>
      <c r="I41" s="8">
        <f t="shared" ca="1" si="33"/>
        <v>0.81132796200717505</v>
      </c>
      <c r="J41" s="8">
        <f t="shared" ca="1" si="33"/>
        <v>0.83039691674750327</v>
      </c>
      <c r="K41" s="8">
        <f t="shared" ca="1" si="33"/>
        <v>0.84597427165383299</v>
      </c>
    </row>
    <row r="42" spans="1:14" ht="15" customHeight="1" x14ac:dyDescent="0.2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</row>
    <row r="43" spans="1:14" ht="15" customHeight="1" thickBot="1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</row>
    <row r="44" spans="1:14" ht="15" customHeight="1" x14ac:dyDescent="0.2">
      <c r="A44" s="11" t="s">
        <v>2</v>
      </c>
      <c r="B44" s="15" t="s">
        <v>5</v>
      </c>
      <c r="C44" s="16"/>
      <c r="D44" s="16"/>
      <c r="E44" s="16"/>
      <c r="F44" s="16"/>
      <c r="G44" s="16"/>
      <c r="H44" s="16"/>
      <c r="I44" s="16"/>
      <c r="J44" s="16"/>
      <c r="K44" s="17"/>
      <c r="N44" s="12" t="s">
        <v>16</v>
      </c>
    </row>
    <row r="45" spans="1:14" ht="15" customHeight="1" x14ac:dyDescent="0.2">
      <c r="A45" s="9">
        <v>0.1</v>
      </c>
      <c r="B45" s="7"/>
      <c r="C45" s="7"/>
      <c r="D45" s="7"/>
      <c r="E45" s="7"/>
      <c r="F45" s="7"/>
      <c r="G45" s="7"/>
      <c r="H45" s="7"/>
      <c r="I45" s="7"/>
      <c r="J45" s="7"/>
      <c r="K45" s="7"/>
    </row>
    <row r="46" spans="1:14" ht="15" customHeight="1" x14ac:dyDescent="0.2">
      <c r="A46" s="2">
        <f>0.1+A45</f>
        <v>0.2</v>
      </c>
      <c r="B46" s="7"/>
      <c r="C46" s="7"/>
      <c r="D46" s="7"/>
      <c r="E46" s="7"/>
      <c r="F46" s="7"/>
      <c r="G46" s="7"/>
      <c r="H46" s="7"/>
      <c r="I46" s="7"/>
      <c r="J46" s="7"/>
      <c r="K46" s="7"/>
    </row>
    <row r="47" spans="1:14" ht="15" customHeight="1" x14ac:dyDescent="0.2">
      <c r="A47" s="2">
        <f t="shared" ref="A47:A52" si="34">0.1+A46</f>
        <v>0.30000000000000004</v>
      </c>
      <c r="B47" s="7"/>
      <c r="C47" s="7"/>
      <c r="D47" s="7"/>
      <c r="E47" s="7"/>
      <c r="F47" s="7"/>
      <c r="G47" s="7"/>
      <c r="H47" s="7"/>
      <c r="I47" s="7"/>
      <c r="J47" s="7"/>
      <c r="K47" s="7"/>
    </row>
    <row r="48" spans="1:14" ht="15" customHeight="1" x14ac:dyDescent="0.2">
      <c r="A48" s="2">
        <f t="shared" si="34"/>
        <v>0.4</v>
      </c>
      <c r="B48" s="7"/>
      <c r="C48" s="7"/>
      <c r="D48" s="7"/>
      <c r="E48" s="7"/>
      <c r="F48" s="7"/>
      <c r="G48" s="7"/>
      <c r="H48" s="7"/>
      <c r="I48" s="7"/>
      <c r="J48" s="7"/>
      <c r="K48" s="7"/>
    </row>
    <row r="49" spans="1:11" ht="15" customHeight="1" x14ac:dyDescent="0.2">
      <c r="A49" s="2">
        <f t="shared" si="34"/>
        <v>0.5</v>
      </c>
      <c r="B49" s="7"/>
      <c r="C49" s="8"/>
      <c r="D49" s="8"/>
      <c r="E49" s="8"/>
      <c r="F49" s="8"/>
      <c r="G49" s="8"/>
      <c r="H49" s="8"/>
      <c r="I49" s="8"/>
      <c r="J49" s="8"/>
      <c r="K49" s="8"/>
    </row>
    <row r="50" spans="1:11" ht="15" customHeight="1" x14ac:dyDescent="0.2">
      <c r="A50" s="2">
        <f t="shared" si="34"/>
        <v>0.6</v>
      </c>
      <c r="B50" s="7"/>
      <c r="C50" s="7"/>
      <c r="D50" s="7"/>
      <c r="E50" s="7"/>
      <c r="F50" s="7"/>
      <c r="G50" s="7"/>
      <c r="H50" s="7"/>
      <c r="I50" s="7"/>
      <c r="J50" s="7"/>
      <c r="K50" s="7"/>
    </row>
    <row r="51" spans="1:11" ht="15" customHeight="1" x14ac:dyDescent="0.2">
      <c r="A51" s="2">
        <f t="shared" si="34"/>
        <v>0.7</v>
      </c>
      <c r="B51" s="7"/>
      <c r="C51" s="7"/>
      <c r="D51" s="7"/>
      <c r="E51" s="7"/>
      <c r="F51" s="7"/>
      <c r="G51" s="7"/>
      <c r="H51" s="7"/>
      <c r="I51" s="7"/>
      <c r="J51" s="7"/>
      <c r="K51" s="7"/>
    </row>
    <row r="52" spans="1:11" ht="15" customHeight="1" x14ac:dyDescent="0.2">
      <c r="A52" s="2">
        <f t="shared" si="34"/>
        <v>0.79999999999999993</v>
      </c>
      <c r="B52" s="7"/>
      <c r="C52" s="7"/>
      <c r="D52" s="7"/>
      <c r="E52" s="7"/>
      <c r="F52" s="7"/>
      <c r="G52" s="7"/>
      <c r="H52" s="7"/>
      <c r="I52" s="7"/>
      <c r="J52" s="7"/>
      <c r="K52" s="7"/>
    </row>
    <row r="53" spans="1:11" ht="15" customHeight="1" x14ac:dyDescent="0.2">
      <c r="A53" s="2">
        <f>0.1+A52</f>
        <v>0.89999999999999991</v>
      </c>
      <c r="B53" s="7"/>
      <c r="C53" s="7"/>
      <c r="D53" s="7"/>
      <c r="E53" s="7"/>
      <c r="F53" s="7"/>
      <c r="G53" s="7"/>
      <c r="H53" s="7"/>
      <c r="I53" s="7"/>
      <c r="J53" s="7"/>
      <c r="K53" s="7"/>
    </row>
  </sheetData>
  <mergeCells count="3">
    <mergeCell ref="A3:B3"/>
    <mergeCell ref="B8:K8"/>
    <mergeCell ref="B44:K44"/>
  </mergeCells>
  <phoneticPr fontId="0" type="noConversion"/>
  <printOptions headings="1" gridLines="1"/>
  <pageMargins left="0.75" right="0.75" top="1" bottom="1" header="0.5" footer="0.5"/>
  <pageSetup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Survival</vt:lpstr>
    </vt:vector>
  </TitlesOfParts>
  <Company>VTCFWRU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Page S D</dc:creator>
  <cp:lastModifiedBy>Lenovo</cp:lastModifiedBy>
  <dcterms:created xsi:type="dcterms:W3CDTF">2000-09-19T23:26:09Z</dcterms:created>
  <dcterms:modified xsi:type="dcterms:W3CDTF">2018-01-10T20:45:50Z</dcterms:modified>
</cp:coreProperties>
</file>