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_rels/sheet6.xml.rels" ContentType="application/vnd.openxmlformats-package.relationships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13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23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07PVNPV" sheetId="1" state="visible" r:id="rId3"/>
    <sheet name="08NPV" sheetId="2" state="visible" r:id="rId4"/>
    <sheet name="09CorrectNPV" sheetId="3" state="visible" r:id="rId5"/>
    <sheet name="10NPVason1stDate" sheetId="4" state="visible" r:id="rId6"/>
    <sheet name="11NPVasonToday" sheetId="5" state="visible" r:id="rId7"/>
    <sheet name="12GraphicalIRR" sheetId="6" state="visible" r:id="rId8"/>
    <sheet name="13IRR" sheetId="7" state="visible" r:id="rId9"/>
    <sheet name="14IRR-FDecision" sheetId="8" state="visible" r:id="rId10"/>
    <sheet name="15IRR-or-Not" sheetId="9" state="visible" r:id="rId11"/>
    <sheet name="16IRR2" sheetId="10" state="visible" r:id="rId12"/>
    <sheet name="17WhenLDiffLoan&amp;InvRates" sheetId="11" state="visible" r:id="rId13"/>
    <sheet name="18PMT" sheetId="12" state="visible" r:id="rId14"/>
    <sheet name="19EMI" sheetId="13" state="visible" r:id="rId15"/>
    <sheet name="20NPER" sheetId="14" state="visible" r:id="rId16"/>
    <sheet name="Sheet1" sheetId="15" state="visible" r:id="rId17"/>
    <sheet name="Scenario Summary 2" sheetId="21" state="visible" r:id="rId18"/>
    <sheet name="Scenario Summary 3" sheetId="22" state="visible" r:id="rId19"/>
    <sheet name="Scenario Summary" sheetId="23" state="visible" r:id="rId20"/>
  </sheets>
  <definedNames>
    <definedName function="false" hidden="false" name="Avg_cost_per_policy_per_year" vbProcedure="false">Sheet1!$B$4</definedName>
    <definedName function="false" hidden="false" name="Avg_no_of_policies_per_Agent_per_year" vbProcedure="false">Sheet1!$B$2</definedName>
    <definedName function="false" hidden="false" name="Avg_premium_amount_per_policy_per_year" vbProcedure="false">Sheet1!$B$3</definedName>
    <definedName function="false" hidden="false" name="Net_collection_of_policies_amt_per_year" vbProcedure="false">Sheet1!$B$5</definedName>
    <definedName function="false" hidden="false" name="Number_of_Agents" vbProcedure="false">Sheet1!$B$1</definedName>
    <definedName function="false" hidden="false" localSheetId="11" name="solver_eng" vbProcedure="false">1</definedName>
    <definedName function="false" hidden="false" localSheetId="11" name="solver_neg" vbProcedure="false">1</definedName>
    <definedName function="false" hidden="false" localSheetId="11" name="solver_num" vbProcedure="false">0</definedName>
    <definedName function="false" hidden="false" localSheetId="11" name="solver_opt" vbProcedure="false">18PMT!$F$15</definedName>
    <definedName function="false" hidden="false" localSheetId="11" name="solver_typ" vbProcedure="false">1</definedName>
    <definedName function="false" hidden="false" localSheetId="11" name="solver_val" vbProcedure="false">0</definedName>
    <definedName function="false" hidden="false" localSheetId="11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<sst xmlns="http://schemas.openxmlformats.org/spreadsheetml/2006/main" count="351" uniqueCount="162">
  <si>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Annual payment </t>
    </r>
    <r>
      <rPr>
        <b val="true"/>
        <sz val="11"/>
        <rFont val="Calibri"/>
        <family val="2"/>
        <charset val="1"/>
      </rPr>
      <t xml:space="preserve"> </t>
    </r>
  </si>
  <si>
    <t xml:space="preserve"> 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</si>
  <si>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r, Discount rate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</si>
  <si>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Year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</si>
  <si>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at </t>
    </r>
    <r>
      <rPr>
        <b val="true"/>
        <sz val="9.9"/>
        <color rgb="FFFF0000"/>
        <rFont val="Calibri"/>
        <family val="2"/>
        <charset val="1"/>
      </rPr>
      <t xml:space="preserve">end of year</t>
    </r>
    <r>
      <rPr>
        <b val="true"/>
        <sz val="9.9"/>
        <color rgb="FF000000"/>
        <rFont val="Calibri"/>
        <family val="2"/>
        <charset val="1"/>
      </rPr>
      <t xml:space="preserve">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</si>
  <si>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Present value of payment </t>
    </r>
    <r>
      <rPr>
        <b val="true"/>
        <sz val="11"/>
        <rFont val="Calibri"/>
        <family val="2"/>
        <charset val="1"/>
      </rPr>
      <t xml:space="preserve"> </t>
    </r>
  </si>
  <si>
    <t xml:space="preserve">&lt;- by arithmetic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</si>
  <si>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Present value of all payments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</si>
  <si>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 Summing the present values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</si>
  <si>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 Using Excel's PV function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</si>
  <si>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 Using Excel's NPV function </t>
    </r>
    <r>
      <rPr>
        <b val="true"/>
        <sz val="11"/>
        <rFont val="Calibri"/>
        <family val="2"/>
        <charset val="1"/>
      </rPr>
      <t xml:space="preserve"> </t>
    </r>
  </si>
  <si>
    <t xml:space="preserve">npv better than pv</t>
  </si>
  <si>
    <t xml:space="preserve">CALCULATING PRESENT VALUES WITH EXCEL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</si>
  <si>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6%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</si>
  <si>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Present value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</si>
  <si>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 Summing the </t>
    </r>
    <r>
      <rPr>
        <b val="true"/>
        <sz val="9.9"/>
        <color rgb="FFFF0000"/>
        <rFont val="Calibri"/>
        <family val="2"/>
        <charset val="1"/>
      </rPr>
      <t xml:space="preserve">present values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</si>
  <si>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 </t>
    </r>
    <r>
      <rPr>
        <b val="true"/>
        <sz val="9.9"/>
        <color rgb="FFFF0000"/>
        <rFont val="Calibri"/>
        <family val="2"/>
        <charset val="1"/>
      </rPr>
      <t xml:space="preserve">PV</t>
    </r>
    <r>
      <rPr>
        <b val="true"/>
        <sz val="9.9"/>
        <color rgb="FF000000"/>
        <rFont val="Calibri"/>
        <family val="2"/>
        <charset val="1"/>
      </rPr>
      <t xml:space="preserve"> Using Excel's NPV function </t>
    </r>
    <r>
      <rPr>
        <b val="true"/>
        <sz val="11"/>
        <rFont val="Calibri"/>
        <family val="2"/>
        <charset val="1"/>
      </rPr>
      <t xml:space="preserve"> </t>
    </r>
  </si>
  <si>
    <t xml:space="preserve">works!</t>
  </si>
  <si>
    <t xml:space="preserve">Can we use PV here?</t>
  </si>
  <si>
    <t xml:space="preserve">payment changing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</si>
  <si>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5%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</si>
  <si>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</si>
  <si>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NPV</t>
    </r>
    <r>
      <rPr>
        <b val="true"/>
        <sz val="11"/>
        <rFont val="Calibri"/>
        <family val="2"/>
        <charset val="1"/>
      </rPr>
      <t xml:space="preserve"> </t>
    </r>
  </si>
  <si>
    <t xml:space="preserve">wrong bcoz of year 0</t>
  </si>
  <si>
    <r>
      <rPr>
        <b val="true"/>
        <sz val="9.9"/>
        <color rgb="FFFF0000"/>
        <rFont val="Calibri"/>
        <family val="2"/>
        <charset val="1"/>
      </rPr>
      <t xml:space="preserve">Net Present Value</t>
    </r>
    <r>
      <rPr>
        <b val="true"/>
        <sz val="9.9"/>
        <color rgb="FF000000"/>
        <rFont val="Calibri"/>
        <family val="2"/>
        <charset val="1"/>
      </rPr>
      <t xml:space="preserve"> Using Excel's NPV function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</si>
  <si>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9.9"/>
        <color rgb="FFFF0000"/>
        <rFont val="Calibri"/>
        <family val="2"/>
        <charset val="1"/>
      </rPr>
      <t xml:space="preserve">Present Value</t>
    </r>
    <r>
      <rPr>
        <b val="true"/>
        <sz val="9.9"/>
        <color rgb="FF000000"/>
        <rFont val="Calibri"/>
        <family val="2"/>
        <charset val="1"/>
      </rPr>
      <t xml:space="preserve"> Using Excel's NPV function </t>
    </r>
    <r>
      <rPr>
        <b val="true"/>
        <sz val="11"/>
        <rFont val="Calibri"/>
        <family val="2"/>
        <charset val="1"/>
      </rPr>
      <t xml:space="preserve"> </t>
    </r>
  </si>
  <si>
    <t xml:space="preserve">&lt;-  -800 was at year 0, not year1</t>
  </si>
  <si>
    <r>
      <rPr>
        <b val="true"/>
        <sz val="9.9"/>
        <color rgb="FFFF0000"/>
        <rFont val="Calibri"/>
        <family val="2"/>
        <charset val="1"/>
      </rPr>
      <t xml:space="preserve">Net Present Value???</t>
    </r>
    <r>
      <rPr>
        <b val="true"/>
        <sz val="9.9"/>
        <color rgb="FF000000"/>
        <rFont val="Calibri"/>
        <family val="2"/>
        <charset val="1"/>
      </rPr>
      <t xml:space="preserve"> Using Excel's NPV function </t>
    </r>
    <r>
      <rPr>
        <b val="true"/>
        <sz val="11"/>
        <rFont val="Calibri"/>
        <family val="2"/>
        <charset val="1"/>
      </rPr>
      <t xml:space="preserve"> </t>
    </r>
  </si>
  <si>
    <t xml:space="preserve">Through GUI : NPV?</t>
  </si>
  <si>
    <t xml:space="preserve">Date</t>
  </si>
  <si>
    <t xml:space="preserve">Cash Flow</t>
  </si>
  <si>
    <t xml:space="preserve">Timing</t>
  </si>
  <si>
    <t xml:space="preserve">Discount Factor</t>
  </si>
  <si>
    <t xml:space="preserve">C3-C8 in English(India)</t>
  </si>
  <si>
    <t xml:space="preserve">Rate</t>
  </si>
  <si>
    <t xml:space="preserve">&lt;-normal npv</t>
  </si>
  <si>
    <t xml:space="preserve">correct npv-&gt;</t>
  </si>
  <si>
    <t xml:space="preserve">&lt;- arithmetic (fpr proof)</t>
  </si>
  <si>
    <t xml:space="preserve">X12: considering unequal gap in timing of payments</t>
  </si>
  <si>
    <t xml:space="preserve">E3- investment</t>
  </si>
  <si>
    <t xml:space="preserve">E4:E7- returns</t>
  </si>
  <si>
    <t xml:space="preserve">homework</t>
  </si>
  <si>
    <t xml:space="preserve">NPV as on Today</t>
  </si>
  <si>
    <t xml:space="preserve">Code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</si>
  <si>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Discount rate </t>
    </r>
    <r>
      <rPr>
        <b val="true"/>
        <sz val="11"/>
        <rFont val="Calibri"/>
        <family val="2"/>
        <charset val="1"/>
      </rPr>
      <t xml:space="preserve"> </t>
    </r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</si>
  <si>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NPV </t>
    </r>
    <r>
      <rPr>
        <b val="true"/>
        <sz val="11"/>
        <rFont val="Calibri"/>
        <family val="2"/>
        <charset val="1"/>
      </rPr>
      <t xml:space="preserve"> </t>
    </r>
  </si>
  <si>
    <t xml:space="preserve">irr  interc on x axis</t>
  </si>
  <si>
    <t xml:space="preserve">&lt;- IRR</t>
  </si>
  <si>
    <t xml:space="preserve">Another Example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</si>
  <si>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Cash flow </t>
    </r>
    <r>
      <rPr>
        <b val="true"/>
        <sz val="11"/>
        <rFont val="Calibri"/>
        <family val="2"/>
        <charset val="1"/>
      </rPr>
      <t xml:space="preserve"> </t>
    </r>
  </si>
  <si>
    <t xml:space="preserve">IRR=&gt;</t>
  </si>
  <si>
    <r>
      <rPr>
        <b val="true"/>
        <sz val="11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IRR </t>
    </r>
    <r>
      <rPr>
        <b val="true"/>
        <sz val="11"/>
        <rFont val="Calibri"/>
        <family val="2"/>
        <charset val="1"/>
      </rPr>
      <t xml:space="preserve"> </t>
    </r>
  </si>
  <si>
    <t xml:space="preserve">Using IRR to choose between investments</t>
  </si>
  <si>
    <t xml:space="preserve">Year</t>
  </si>
  <si>
    <r>
      <rPr>
        <sz val="10"/>
        <rFont val="Calibri"/>
        <family val="2"/>
        <charset val="1"/>
      </rPr>
      <t xml:space="preserve"> </t>
    </r>
    <r>
      <rPr>
        <b val="true"/>
        <sz val="10"/>
        <color rgb="FF000000"/>
        <rFont val="Calibri"/>
        <family val="2"/>
        <charset val="1"/>
      </rPr>
      <t xml:space="preserve">Investment A Cashflows</t>
    </r>
    <r>
      <rPr>
        <sz val="10"/>
        <color rgb="FF000000"/>
        <rFont val="Calibri"/>
        <family val="2"/>
        <charset val="1"/>
      </rPr>
      <t xml:space="preserve"> </t>
    </r>
  </si>
  <si>
    <r>
      <rPr>
        <sz val="10"/>
        <rFont val="Calibri"/>
        <family val="2"/>
        <charset val="1"/>
      </rPr>
      <t xml:space="preserve"> </t>
    </r>
    <r>
      <rPr>
        <b val="true"/>
        <sz val="10"/>
        <color rgb="FF000000"/>
        <rFont val="Calibri"/>
        <family val="2"/>
        <charset val="1"/>
      </rPr>
      <t xml:space="preserve">Investment B Cahsflows </t>
    </r>
    <r>
      <rPr>
        <sz val="10"/>
        <rFont val="Calibri"/>
        <family val="2"/>
        <charset val="1"/>
      </rPr>
      <t xml:space="preserve"> </t>
    </r>
  </si>
  <si>
    <t xml:space="preserve">14-03-16</t>
  </si>
  <si>
    <t xml:space="preserve">uneqAL PERIODS -&gt; XIRR</t>
  </si>
  <si>
    <t xml:space="preserve">31-03-16</t>
  </si>
  <si>
    <t xml:space="preserve">15-04-16</t>
  </si>
  <si>
    <r>
      <rPr>
        <sz val="10"/>
        <rFont val="Calibri"/>
        <family val="2"/>
        <charset val="1"/>
      </rPr>
      <t xml:space="preserve"> </t>
    </r>
    <r>
      <rPr>
        <sz val="10"/>
        <color rgb="FF000000"/>
        <rFont val="Calibri"/>
        <family val="2"/>
        <charset val="1"/>
      </rPr>
      <t xml:space="preserve">IRR  </t>
    </r>
  </si>
  <si>
    <t xml:space="preserve">XIRR better</t>
  </si>
  <si>
    <t xml:space="preserve">npv-&gt;</t>
  </si>
  <si>
    <t xml:space="preserve">better</t>
  </si>
  <si>
    <t xml:space="preserve">page: rely on pv more than npv, IRR</t>
  </si>
  <si>
    <t xml:space="preserve">Project</t>
  </si>
  <si>
    <t xml:space="preserve">Year 0</t>
  </si>
  <si>
    <t xml:space="preserve">Year 1</t>
  </si>
  <si>
    <t xml:space="preserve">IRR</t>
  </si>
  <si>
    <t xml:space="preserve">less rate but more profit</t>
  </si>
  <si>
    <t xml:space="preserve">irr is not really the best meaure</t>
  </si>
  <si>
    <t xml:space="preserve">What is the correct IRR =&gt;</t>
  </si>
  <si>
    <t xml:space="preserve">&lt;-XIRR</t>
  </si>
  <si>
    <t xml:space="preserve">will be wrong, uneven timing of payment gap</t>
  </si>
  <si>
    <t xml:space="preserve">borrow</t>
  </si>
  <si>
    <t xml:space="preserve">invest</t>
  </si>
  <si>
    <t xml:space="preserve">Amt</t>
  </si>
  <si>
    <t xml:space="preserve">ex. take from shareholder and reinvest somewhere</t>
  </si>
  <si>
    <t xml:space="preserve">if 2 rates are not given use only XIRR, not MIRR</t>
  </si>
  <si>
    <t xml:space="preserve">total</t>
  </si>
  <si>
    <t xml:space="preserve">IRR1</t>
  </si>
  <si>
    <t xml:space="preserve">IRR2</t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</si>
  <si>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Loan principal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</si>
  <si>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Loan interest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</si>
  <si>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Years to pay off loan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</si>
  <si>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Annual payment </t>
    </r>
    <r>
      <rPr>
        <b val="true"/>
        <sz val="11"/>
        <color rgb="FF000000"/>
        <rFont val="Calibri"/>
        <family val="2"/>
        <charset val="1"/>
      </rPr>
      <t xml:space="preserve"> </t>
    </r>
  </si>
  <si>
    <t xml:space="preserve">we don’t deposit money at the beginning of loan. Ex. Post dated cheques</t>
  </si>
  <si>
    <t xml:space="preserve">PMT ^</t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</si>
  <si>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Part of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</si>
  <si>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</si>
  <si>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Balance </t>
    </r>
    <r>
      <rPr>
        <b val="true"/>
        <sz val="9.9"/>
        <color rgb="FF000000"/>
        <rFont val="Calibri"/>
        <family val="2"/>
        <charset val="1"/>
      </rPr>
      <t xml:space="preserve">at the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</si>
  <si>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which is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</si>
  <si>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Year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</si>
  <si>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beginning of the  </t>
    </r>
    <r>
      <rPr>
        <b val="true"/>
        <sz val="9.9"/>
        <color rgb="FF000000"/>
        <rFont val="Calibri"/>
        <family val="2"/>
        <charset val="1"/>
      </rPr>
      <t xml:space="preserve">year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</si>
  <si>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at end year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</si>
  <si>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interest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</si>
  <si>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principal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</si>
  <si>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1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</si>
  <si>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2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</si>
  <si>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3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</si>
  <si>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4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</si>
  <si>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5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</si>
  <si>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6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</si>
  <si>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7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</si>
  <si>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8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</si>
  <si>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9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</si>
  <si>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10 </t>
    </r>
    <r>
      <rPr>
        <b val="true"/>
        <sz val="11"/>
        <color rgb="FF000000"/>
        <rFont val="Calibri"/>
        <family val="2"/>
        <charset val="1"/>
      </rPr>
      <t xml:space="preserve"> </t>
    </r>
  </si>
  <si>
    <t xml:space="preserve">Total=&gt;</t>
  </si>
  <si>
    <t xml:space="preserve">B2 was 5000000</t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</si>
  <si>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Loan interest </t>
    </r>
    <r>
      <rPr>
        <b val="true"/>
        <sz val="11"/>
        <color rgb="FF000000"/>
        <rFont val="Calibri"/>
        <family val="2"/>
        <charset val="1"/>
      </rPr>
      <t xml:space="preserve"> rate</t>
    </r>
  </si>
  <si>
    <t xml:space="preserve">note- no. of periods is 120</t>
  </si>
  <si>
    <r>
      <rPr>
        <b val="true"/>
        <sz val="11"/>
        <color rgb="FFC00000"/>
        <rFont val="Calibri"/>
        <family val="2"/>
        <charset val="1"/>
      </rPr>
      <t xml:space="preserve">Monthly</t>
    </r>
    <r>
      <rPr>
        <b val="true"/>
        <sz val="9.9"/>
        <color rgb="FFC00000"/>
        <rFont val="Calibri"/>
        <family val="2"/>
        <charset val="1"/>
      </rPr>
      <t xml:space="preserve"> payment </t>
    </r>
    <r>
      <rPr>
        <b val="true"/>
        <sz val="11"/>
        <color rgb="FFC00000"/>
        <rFont val="Calibri"/>
        <family val="2"/>
        <charset val="1"/>
      </rPr>
      <t xml:space="preserve"> </t>
    </r>
  </si>
  <si>
    <t xml:space="preserve">&lt;-PMT(B3/12,B4*12.B2)</t>
  </si>
  <si>
    <t xml:space="preserve">Month</t>
  </si>
  <si>
    <r>
      <rPr>
        <b val="true"/>
        <sz val="11"/>
        <color rgb="FF000000"/>
        <rFont val="Calibri"/>
        <family val="2"/>
        <charset val="1"/>
      </rPr>
      <t xml:space="preserve">beginning of the  </t>
    </r>
    <r>
      <rPr>
        <b val="true"/>
        <sz val="9.9"/>
        <color rgb="FF000000"/>
        <rFont val="Calibri"/>
        <family val="2"/>
        <charset val="1"/>
      </rPr>
      <t xml:space="preserve">month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</si>
  <si>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at end month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</si>
  <si>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Loan amount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</si>
  <si>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Interest rate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</si>
  <si>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Principal beginning of year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</si>
  <si>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Payment at end of year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</si>
  <si>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Interest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</si>
  <si>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Return of principal </t>
    </r>
    <r>
      <rPr>
        <b val="true"/>
        <sz val="11"/>
        <color rgb="FF000000"/>
        <rFont val="Calibri"/>
        <family val="2"/>
        <charset val="1"/>
      </rPr>
      <t xml:space="preserve"> </t>
    </r>
  </si>
  <si>
    <r>
      <rPr>
        <b val="true"/>
        <sz val="11"/>
        <color rgb="FF000000"/>
        <rFont val="Calibri"/>
        <family val="2"/>
        <charset val="1"/>
      </rPr>
      <t xml:space="preserve"> </t>
    </r>
    <r>
      <rPr>
        <b val="true"/>
        <sz val="9.9"/>
        <color rgb="FF000000"/>
        <rFont val="Calibri"/>
        <family val="2"/>
        <charset val="1"/>
      </rPr>
      <t xml:space="preserve">Excel's NPER function </t>
    </r>
    <r>
      <rPr>
        <b val="true"/>
        <sz val="11"/>
        <color rgb="FF000000"/>
        <rFont val="Calibri"/>
        <family val="2"/>
        <charset val="1"/>
      </rPr>
      <t xml:space="preserve"> </t>
    </r>
  </si>
  <si>
    <t xml:space="preserve">C12 much greater than B12. Loan is already getting repaid</t>
  </si>
  <si>
    <t xml:space="preserve">Number of Agents</t>
  </si>
  <si>
    <t xml:space="preserve">Avg no of policies per Agent per year</t>
  </si>
  <si>
    <t xml:space="preserve">scenerio picks different values of cells</t>
  </si>
  <si>
    <t xml:space="preserve">Avg premium amount per policy per year</t>
  </si>
  <si>
    <t xml:space="preserve">solution= select all cells</t>
  </si>
  <si>
    <t xml:space="preserve">Avg cost per policy per year</t>
  </si>
  <si>
    <t xml:space="preserve">&lt;- its still has decimal value in memory</t>
  </si>
  <si>
    <t xml:space="preserve">Net collection of policies amt per year</t>
  </si>
  <si>
    <t xml:space="preserve">goalseek- o/p to input</t>
  </si>
  <si>
    <t xml:space="preserve">scenerio - i/p to output</t>
  </si>
  <si>
    <t xml:space="preserve">Scenario Summary</t>
  </si>
  <si>
    <t xml:space="preserve">Current Values:</t>
  </si>
  <si>
    <t xml:space="preserve">Org</t>
  </si>
  <si>
    <t xml:space="preserve">s1</t>
  </si>
  <si>
    <t xml:space="preserve">s2</t>
  </si>
  <si>
    <t xml:space="preserve">s3</t>
  </si>
  <si>
    <t xml:space="preserve">Created by Author on 11/30/2017
Modified by Author on 11/30/2017
Modified by dbda on 11/30/2017</t>
  </si>
  <si>
    <t xml:space="preserve">Created by Author on 11/30/2017
Modified by dbda on 11/30/2017</t>
  </si>
  <si>
    <t xml:space="preserve">Changing Cells:</t>
  </si>
  <si>
    <t xml:space="preserve">Number_of_Agents</t>
  </si>
  <si>
    <t xml:space="preserve">Avg_no_of_policies_per_Agent_pe</t>
  </si>
  <si>
    <t xml:space="preserve">Avg_premium_amount_per_policy_p</t>
  </si>
  <si>
    <t xml:space="preserve">Avg_cost_per_policy_per_year</t>
  </si>
  <si>
    <t xml:space="preserve">Result Cells:</t>
  </si>
  <si>
    <t xml:space="preserve">Net_collection_of_policies_amt_</t>
  </si>
  <si>
    <t xml:space="preserve">Notes:  Current Values column represents values of changing cells at</t>
  </si>
  <si>
    <t xml:space="preserve">time Scenario Summary Report was created.  Changing cells for each</t>
  </si>
  <si>
    <t xml:space="preserve">scenario are highlighted in gray.</t>
  </si>
  <si>
    <t xml:space="preserve">s1 11/30/2017</t>
  </si>
  <si>
    <t xml:space="preserve">Created by Author on 11/30/2017
Modified by Author on 11/30/2017
Modified by Author on 11/30/2017</t>
  </si>
  <si>
    <t xml:space="preserve">Created by Author on 11/30/2017
Modified by Author on 11/30/2017</t>
  </si>
  <si>
    <t xml:space="preserve">Created by dbda on 11/30/2017</t>
  </si>
  <si>
    <t xml:space="preserve">Created by Author on 11/30/2017</t>
  </si>
  <si>
    <t xml:space="preserve">$B$2</t>
  </si>
  <si>
    <t xml:space="preserve">$B$1</t>
  </si>
  <si>
    <t xml:space="preserve">$B$3</t>
  </si>
  <si>
    <t xml:space="preserve">$B$4</t>
  </si>
  <si>
    <t xml:space="preserve">$B$5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</si>
</sst>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0.00%"/>
    <numFmt numFmtId="166" formatCode="0"/>
    <numFmt numFmtId="167" formatCode="0.00"/>
    <numFmt numFmtId="168" formatCode="\$#,##0.00_);[RED]&quot;($&quot;#,##0.00\)"/>
    <numFmt numFmtId="169" formatCode="#,##0.00"/>
    <numFmt numFmtId="170" formatCode="#,##0.00;[RED]\-#,##0.00"/>
    <numFmt numFmtId="171" formatCode="&quot;₹ &quot;#,##0.00;[RED]&quot;₹ -&quot;#,##0.00"/>
    <numFmt numFmtId="172" formatCode="DD\-MM\-YYYY;@"/>
    <numFmt numFmtId="173" formatCode="D/MMM/YY;@"/>
    <numFmt numFmtId="174" formatCode="DD/MM/YYYY"/>
    <numFmt numFmtId="175" formatCode="0%"/>
    <numFmt numFmtId="176" formatCode="0.0000%"/>
    <numFmt numFmtId="177" formatCode="D\-MMM\-YY;@"/>
    <numFmt numFmtId="178" formatCode="#,##0"/>
  </numFmts>
  <fonts count="2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9.9"/>
      <color rgb="FF000000"/>
      <name val="Calibri"/>
      <family val="2"/>
      <charset val="1"/>
    </font>
    <font>
      <b val="true"/>
      <sz val="9.9"/>
      <color rgb="FFFF0000"/>
      <name val="Calibri"/>
      <family val="2"/>
      <charset val="1"/>
    </font>
    <font>
      <b val="true"/>
      <sz val="11"/>
      <color rgb="FFA6A6A6"/>
      <name val="Calibri"/>
      <family val="2"/>
      <charset val="1"/>
    </font>
    <font>
      <b val="true"/>
      <sz val="11"/>
      <color rgb="FFEAEAEA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2"/>
      <color rgb="FFC00000"/>
      <name val="Calibri"/>
      <family val="2"/>
      <charset val="1"/>
    </font>
    <font>
      <b val="true"/>
      <sz val="11"/>
      <color rgb="FFC00000"/>
      <name val="Calibri"/>
      <family val="2"/>
      <charset val="1"/>
    </font>
    <font>
      <b val="true"/>
      <sz val="12"/>
      <color rgb="FFFF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sz val="11"/>
      <color rgb="FFFFFF00"/>
      <name val="Calibri"/>
      <family val="2"/>
      <charset val="1"/>
    </font>
    <font>
      <b val="true"/>
      <sz val="11"/>
      <color rgb="FFFFC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0"/>
      <name val="Arial"/>
      <family val="2"/>
      <charset val="1"/>
    </font>
    <font>
      <b val="true"/>
      <sz val="11"/>
      <color rgb="FF604A7B"/>
      <name val="Calibri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b val="true"/>
      <sz val="10"/>
      <color rgb="FF000000"/>
      <name val="Calibri"/>
      <family val="2"/>
      <charset val="1"/>
    </font>
    <font>
      <sz val="10"/>
      <name val="Calibri"/>
      <family val="2"/>
      <charset val="1"/>
    </font>
    <font>
      <b val="true"/>
      <sz val="9.9"/>
      <color rgb="FFC00000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sz val="10"/>
      <color rgb="FFFFFFFF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11"/>
      <color rgb="FF00008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C00000"/>
      </patternFill>
    </fill>
    <fill>
      <patternFill patternType="solid">
        <fgColor rgb="FFFFFFFF"/>
        <bgColor rgb="FFEAEAEA"/>
      </patternFill>
    </fill>
    <fill>
      <patternFill patternType="solid">
        <fgColor rgb="FFCCFFFF"/>
        <bgColor rgb="FFCCFFFF"/>
      </patternFill>
    </fill>
    <fill>
      <patternFill patternType="solid">
        <fgColor rgb="FFFF99FF"/>
        <bgColor rgb="FFCC99FF"/>
      </patternFill>
    </fill>
    <fill>
      <patternFill patternType="solid">
        <fgColor rgb="FF66FFFF"/>
        <bgColor rgb="FF00FFFF"/>
      </patternFill>
    </fill>
    <fill>
      <patternFill patternType="solid">
        <fgColor rgb="FFDDD9C3"/>
        <bgColor rgb="FFD9D9D9"/>
      </patternFill>
    </fill>
    <fill>
      <patternFill patternType="solid">
        <fgColor rgb="FF800080"/>
        <bgColor rgb="FF800080"/>
      </patternFill>
    </fill>
    <fill>
      <patternFill patternType="solid">
        <fgColor rgb="FFC0C0C0"/>
        <bgColor rgb="FFBFBFBF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9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8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9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0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11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3" fillId="2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1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18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8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6" fontId="5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3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3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3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23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8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8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7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4" fillId="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9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9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5" fillId="9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9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1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8" fillId="1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1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1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4F81BD"/>
      <rgbColor rgb="FF9999FF"/>
      <rgbColor rgb="FF993366"/>
      <rgbColor rgb="FFEAEAEA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BFBFBF"/>
      <rgbColor rgb="FFFF99FF"/>
      <rgbColor rgb="FFCC99FF"/>
      <rgbColor rgb="FFDDD9C3"/>
      <rgbColor rgb="FF3366FF"/>
      <rgbColor rgb="FF66FFFF"/>
      <rgbColor rgb="FF99CC00"/>
      <rgbColor rgb="FFFFC000"/>
      <rgbColor rgb="FFFF9900"/>
      <rgbColor rgb="FFFF6600"/>
      <rgbColor rgb="FF604A7B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595959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21.xml"/><Relationship Id="rId19" Type="http://schemas.openxmlformats.org/officeDocument/2006/relationships/worksheet" Target="worksheets/sheet22.xml"/><Relationship Id="rId20" Type="http://schemas.openxmlformats.org/officeDocument/2006/relationships/worksheet" Target="worksheets/sheet23.xml"/><Relationship Id="rId2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 NPV  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12GraphicalIRR!$B$16:$B$16</c:f>
              <c:strCache>
                <c:ptCount val="1"/>
                <c:pt idx="0">
                  <c:v> NPV  </c:v>
                </c:pt>
              </c:strCache>
            </c:strRef>
          </c:tx>
          <c:spPr>
            <a:solidFill>
              <a:srgbClr val="4f81bd"/>
            </a:solidFill>
            <a:ln w="1908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12GraphicalIRR!$A$17:$A$33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</c:numCache>
            </c:numRef>
          </c:xVal>
          <c:yVal>
            <c:numRef>
              <c:f>12GraphicalIRR!$B$17:$B$33</c:f>
              <c:numCache>
                <c:formatCode>General</c:formatCode>
                <c:ptCount val="17"/>
                <c:pt idx="0">
                  <c:v>200</c:v>
                </c:pt>
                <c:pt idx="1">
                  <c:v>165.857130389395</c:v>
                </c:pt>
                <c:pt idx="2">
                  <c:v>133.359599236985</c:v>
                </c:pt>
                <c:pt idx="3">
                  <c:v>102.409494175643</c:v>
                </c:pt>
                <c:pt idx="4">
                  <c:v>72.9157296259288</c:v>
                </c:pt>
                <c:pt idx="5">
                  <c:v>44.793505351606</c:v>
                </c:pt>
                <c:pt idx="6">
                  <c:v>17.9638129194279</c:v>
                </c:pt>
                <c:pt idx="7">
                  <c:v>-7.6470145986325</c:v>
                </c:pt>
                <c:pt idx="8">
                  <c:v>-32.1077138488669</c:v>
                </c:pt>
                <c:pt idx="9">
                  <c:v>-55.4824670759455</c:v>
                </c:pt>
                <c:pt idx="10">
                  <c:v>-77.8312460028192</c:v>
                </c:pt>
                <c:pt idx="11">
                  <c:v>-99.2101267092941</c:v>
                </c:pt>
                <c:pt idx="12">
                  <c:v>-119.671578202163</c:v>
                </c:pt>
                <c:pt idx="13">
                  <c:v>-139.264727097474</c:v>
                </c:pt>
                <c:pt idx="14">
                  <c:v>-158.035600592946</c:v>
                </c:pt>
                <c:pt idx="15">
                  <c:v>-176.027349692209</c:v>
                </c:pt>
                <c:pt idx="16">
                  <c:v>-193.280454449431</c:v>
                </c:pt>
              </c:numCache>
            </c:numRef>
          </c:yVal>
          <c:smooth val="0"/>
        </c:ser>
        <c:axId val="5523094"/>
        <c:axId val="12340612"/>
      </c:scatterChart>
      <c:valAx>
        <c:axId val="552309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2340612"/>
        <c:crosses val="autoZero"/>
        <c:crossBetween val="midCat"/>
      </c:valAx>
      <c:valAx>
        <c:axId val="1234061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#,##0.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52309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194040</xdr:colOff>
      <xdr:row>17</xdr:row>
      <xdr:rowOff>53640</xdr:rowOff>
    </xdr:from>
    <xdr:to>
      <xdr:col>7</xdr:col>
      <xdr:colOff>537840</xdr:colOff>
      <xdr:row>31</xdr:row>
      <xdr:rowOff>129240</xdr:rowOff>
    </xdr:to>
    <xdr:graphicFrame>
      <xdr:nvGraphicFramePr>
        <xdr:cNvPr id="0" name="Chart 1"/>
        <xdr:cNvGraphicFramePr/>
      </xdr:nvGraphicFramePr>
      <xdr:xfrm>
        <a:off x="3592440" y="3425400"/>
        <a:ext cx="6851160" cy="2742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selection pane="topLeft" activeCell="B16" activeCellId="0" sqref="B16"/>
    </sheetView>
  </sheetViews>
  <sheetFormatPr defaultRowHeight="15"/>
  <cols>
    <col collapsed="false" hidden="false" max="1" min="1" style="1" width="29.2226720647773"/>
    <col collapsed="false" hidden="false" max="2" min="2" style="1" width="23.3967611336032"/>
    <col collapsed="false" hidden="false" max="3" min="3" style="1" width="25.6234817813765"/>
    <col collapsed="false" hidden="false" max="1025" min="4" style="1" width="10.5425101214575"/>
  </cols>
  <sheetData>
    <row r="1" customFormat="false" ht="15" hidden="false" customHeight="false" outlineLevel="0" collapsed="false">
      <c r="A1" s="2" t="s">
        <v>0</v>
      </c>
      <c r="B1" s="2" t="n">
        <v>100</v>
      </c>
      <c r="C1" s="1" t="s">
        <v>1</v>
      </c>
      <c r="D1" s="1" t="s">
        <v>1</v>
      </c>
      <c r="E1" s="0"/>
    </row>
    <row r="2" customFormat="false" ht="15" hidden="false" customHeight="false" outlineLevel="0" collapsed="false">
      <c r="A2" s="2" t="s">
        <v>2</v>
      </c>
      <c r="B2" s="3" t="n">
        <v>0.06</v>
      </c>
      <c r="C2" s="1" t="s">
        <v>1</v>
      </c>
      <c r="D2" s="1" t="s">
        <v>1</v>
      </c>
      <c r="E2" s="0"/>
    </row>
    <row r="3" customFormat="false" ht="15" hidden="false" customHeight="false" outlineLevel="0" collapsed="false">
      <c r="A3" s="1" t="s">
        <v>1</v>
      </c>
      <c r="B3" s="1" t="s">
        <v>1</v>
      </c>
      <c r="C3" s="1" t="s">
        <v>1</v>
      </c>
      <c r="D3" s="1" t="s">
        <v>1</v>
      </c>
      <c r="E3" s="0"/>
    </row>
    <row r="4" customFormat="false" ht="15" hidden="false" customHeight="false" outlineLevel="0" collapsed="false">
      <c r="A4" s="2" t="s">
        <v>3</v>
      </c>
      <c r="B4" s="2" t="s">
        <v>4</v>
      </c>
      <c r="C4" s="2" t="s">
        <v>5</v>
      </c>
      <c r="D4" s="1" t="s">
        <v>1</v>
      </c>
      <c r="E4" s="0"/>
    </row>
    <row r="5" customFormat="false" ht="15" hidden="false" customHeight="false" outlineLevel="0" collapsed="false">
      <c r="A5" s="4" t="n">
        <v>1</v>
      </c>
      <c r="B5" s="4" t="n">
        <f aca="false">$B$1</f>
        <v>100</v>
      </c>
      <c r="C5" s="5" t="n">
        <f aca="false">B5/(1+B$2)^A5</f>
        <v>94.3396226415094</v>
      </c>
      <c r="D5" s="6" t="s">
        <v>6</v>
      </c>
      <c r="E5" s="7"/>
    </row>
    <row r="6" customFormat="false" ht="15" hidden="false" customHeight="false" outlineLevel="0" collapsed="false">
      <c r="A6" s="4" t="n">
        <v>2</v>
      </c>
      <c r="B6" s="4" t="n">
        <f aca="false">$B$1</f>
        <v>100</v>
      </c>
      <c r="C6" s="5" t="n">
        <f aca="false">B6/(1+B$2)^A6</f>
        <v>88.999644001424</v>
      </c>
      <c r="D6" s="8"/>
      <c r="E6" s="0"/>
    </row>
    <row r="7" customFormat="false" ht="15" hidden="false" customHeight="false" outlineLevel="0" collapsed="false">
      <c r="A7" s="4" t="n">
        <v>3</v>
      </c>
      <c r="B7" s="4" t="n">
        <f aca="false">$B$1</f>
        <v>100</v>
      </c>
      <c r="C7" s="5" t="n">
        <f aca="false">B7/(1+B$2)^A7</f>
        <v>83.9619283032302</v>
      </c>
      <c r="E7" s="0"/>
    </row>
    <row r="8" customFormat="false" ht="15" hidden="false" customHeight="false" outlineLevel="0" collapsed="false">
      <c r="A8" s="4" t="n">
        <v>4</v>
      </c>
      <c r="B8" s="4" t="n">
        <f aca="false">$B$1</f>
        <v>100</v>
      </c>
      <c r="C8" s="5" t="n">
        <f aca="false">B8/(1+B$2)^A8</f>
        <v>79.209366323802</v>
      </c>
      <c r="E8" s="0"/>
    </row>
    <row r="9" customFormat="false" ht="15" hidden="false" customHeight="false" outlineLevel="0" collapsed="false">
      <c r="A9" s="4" t="n">
        <v>5</v>
      </c>
      <c r="B9" s="4" t="n">
        <f aca="false">$B$1</f>
        <v>100</v>
      </c>
      <c r="C9" s="5" t="n">
        <f aca="false">B9/(1+B$2)^A9</f>
        <v>74.7258172866057</v>
      </c>
      <c r="E9" s="0"/>
    </row>
    <row r="10" customFormat="false" ht="15" hidden="false" customHeight="false" outlineLevel="0" collapsed="false">
      <c r="A10" s="1" t="s">
        <v>1</v>
      </c>
      <c r="B10" s="1" t="s">
        <v>1</v>
      </c>
      <c r="C10" s="1" t="s">
        <v>1</v>
      </c>
      <c r="D10" s="1" t="s">
        <v>1</v>
      </c>
      <c r="E10" s="0"/>
    </row>
    <row r="11" customFormat="false" ht="15" hidden="false" customHeight="false" outlineLevel="0" collapsed="false">
      <c r="A11" s="2" t="s">
        <v>7</v>
      </c>
      <c r="B11" s="9"/>
      <c r="C11" s="1" t="s">
        <v>1</v>
      </c>
      <c r="E11" s="0"/>
    </row>
    <row r="12" customFormat="false" ht="15.75" hidden="false" customHeight="false" outlineLevel="0" collapsed="false">
      <c r="A12" s="2" t="s">
        <v>8</v>
      </c>
      <c r="B12" s="10" t="n">
        <f aca="false">SUM(C5:C9)</f>
        <v>421.236378556571</v>
      </c>
      <c r="C12" s="2"/>
      <c r="E12" s="0"/>
    </row>
    <row r="13" customFormat="false" ht="15.75" hidden="false" customHeight="false" outlineLevel="0" collapsed="false">
      <c r="A13" s="2" t="s">
        <v>9</v>
      </c>
      <c r="B13" s="10" t="n">
        <f aca="false">PV(B2,5,-B1)</f>
        <v>421.236378556572</v>
      </c>
      <c r="C13" s="2"/>
      <c r="E13" s="0"/>
    </row>
    <row r="14" customFormat="false" ht="15.75" hidden="false" customHeight="false" outlineLevel="0" collapsed="false">
      <c r="A14" s="2" t="s">
        <v>10</v>
      </c>
      <c r="B14" s="11" t="n">
        <f aca="false">NPV(B2,B5:B9)</f>
        <v>421.236378556571</v>
      </c>
      <c r="C14" s="12"/>
      <c r="D14" s="12"/>
      <c r="E14" s="13"/>
    </row>
    <row r="15" customFormat="false" ht="15.75" hidden="false" customHeight="false" outlineLevel="0" collapsed="false">
      <c r="A15" s="0"/>
      <c r="B15" s="14"/>
      <c r="C15" s="2"/>
    </row>
    <row r="16" customFormat="false" ht="15" hidden="false" customHeight="false" outlineLevel="0" collapsed="false">
      <c r="A16" s="0"/>
    </row>
    <row r="17" customFormat="false" ht="15" hidden="false" customHeight="false" outlineLevel="0" collapsed="false">
      <c r="A17" s="0"/>
    </row>
    <row r="18" customFormat="false" ht="15" hidden="false" customHeight="false" outlineLevel="0" collapsed="false">
      <c r="A18" s="15" t="s">
        <v>11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13" activeCellId="0" sqref="B13"/>
    </sheetView>
  </sheetViews>
  <sheetFormatPr defaultRowHeight="15"/>
  <cols>
    <col collapsed="false" hidden="false" max="1" min="1" style="1" width="29.2226720647773"/>
    <col collapsed="false" hidden="false" max="2" min="2" style="1" width="23.3967611336032"/>
    <col collapsed="false" hidden="false" max="3" min="3" style="1" width="21.080971659919"/>
    <col collapsed="false" hidden="false" max="4" min="4" style="1" width="20.5668016194332"/>
    <col collapsed="false" hidden="false" max="1025" min="5" style="1" width="10.5425101214575"/>
  </cols>
  <sheetData>
    <row r="1" customFormat="false" ht="15" hidden="false" customHeight="false" outlineLevel="0" collapsed="false">
      <c r="A1" s="1" t="s">
        <v>12</v>
      </c>
      <c r="B1" s="0"/>
      <c r="C1" s="0"/>
      <c r="D1" s="0"/>
    </row>
    <row r="2" customFormat="false" ht="15" hidden="false" customHeight="false" outlineLevel="0" collapsed="false">
      <c r="A2" s="2" t="s">
        <v>2</v>
      </c>
      <c r="B2" s="2" t="s">
        <v>13</v>
      </c>
      <c r="C2" s="1" t="s">
        <v>1</v>
      </c>
      <c r="D2" s="1" t="s">
        <v>1</v>
      </c>
    </row>
    <row r="3" customFormat="false" ht="15" hidden="false" customHeight="false" outlineLevel="0" collapsed="false">
      <c r="A3" s="1" t="s">
        <v>1</v>
      </c>
      <c r="B3" s="1" t="s">
        <v>1</v>
      </c>
      <c r="C3" s="1" t="s">
        <v>1</v>
      </c>
      <c r="D3" s="1" t="s">
        <v>1</v>
      </c>
    </row>
    <row r="4" customFormat="false" ht="15" hidden="false" customHeight="false" outlineLevel="0" collapsed="false">
      <c r="A4" s="2" t="s">
        <v>3</v>
      </c>
      <c r="B4" s="2" t="s">
        <v>4</v>
      </c>
      <c r="C4" s="2" t="s">
        <v>14</v>
      </c>
      <c r="D4" s="1" t="s">
        <v>1</v>
      </c>
    </row>
    <row r="5" customFormat="false" ht="15" hidden="false" customHeight="false" outlineLevel="0" collapsed="false">
      <c r="A5" s="2" t="n">
        <v>1</v>
      </c>
      <c r="B5" s="2" t="n">
        <v>100</v>
      </c>
      <c r="C5" s="5" t="n">
        <f aca="false">B5/(1+$B$2)^A5</f>
        <v>94.3396226415094</v>
      </c>
      <c r="D5" s="16" t="s">
        <v>6</v>
      </c>
    </row>
    <row r="6" customFormat="false" ht="15" hidden="false" customHeight="false" outlineLevel="0" collapsed="false">
      <c r="A6" s="2" t="n">
        <v>2</v>
      </c>
      <c r="B6" s="2" t="n">
        <v>200</v>
      </c>
      <c r="C6" s="5" t="n">
        <f aca="false">B6/(1+$B$2)^A6</f>
        <v>177.999288002848</v>
      </c>
      <c r="D6" s="2"/>
    </row>
    <row r="7" customFormat="false" ht="15" hidden="false" customHeight="false" outlineLevel="0" collapsed="false">
      <c r="A7" s="2" t="n">
        <v>3</v>
      </c>
      <c r="B7" s="2" t="n">
        <v>300</v>
      </c>
      <c r="C7" s="5" t="n">
        <f aca="false">B7/(1+$B$2)^A7</f>
        <v>251.885784909691</v>
      </c>
    </row>
    <row r="8" customFormat="false" ht="15" hidden="false" customHeight="false" outlineLevel="0" collapsed="false">
      <c r="A8" s="2" t="n">
        <v>4</v>
      </c>
      <c r="B8" s="2" t="n">
        <v>400</v>
      </c>
      <c r="C8" s="5" t="n">
        <f aca="false">B8/(1+$B$2)^A8</f>
        <v>316.837465295208</v>
      </c>
    </row>
    <row r="9" customFormat="false" ht="15" hidden="false" customHeight="false" outlineLevel="0" collapsed="false">
      <c r="A9" s="2" t="n">
        <v>5</v>
      </c>
      <c r="B9" s="2" t="n">
        <v>500</v>
      </c>
      <c r="C9" s="5" t="n">
        <f aca="false">B9/(1+$B$2)^A9</f>
        <v>373.629086433029</v>
      </c>
    </row>
    <row r="10" customFormat="false" ht="15" hidden="false" customHeight="false" outlineLevel="0" collapsed="false">
      <c r="A10" s="1" t="s">
        <v>1</v>
      </c>
      <c r="B10" s="1" t="s">
        <v>1</v>
      </c>
      <c r="C10" s="1" t="s">
        <v>1</v>
      </c>
      <c r="D10" s="1" t="s">
        <v>1</v>
      </c>
    </row>
    <row r="11" customFormat="false" ht="15" hidden="false" customHeight="false" outlineLevel="0" collapsed="false">
      <c r="A11" s="2" t="s">
        <v>7</v>
      </c>
      <c r="B11" s="0"/>
      <c r="C11" s="1" t="s">
        <v>1</v>
      </c>
    </row>
    <row r="12" customFormat="false" ht="15" hidden="false" customHeight="false" outlineLevel="0" collapsed="false">
      <c r="A12" s="2" t="s">
        <v>15</v>
      </c>
      <c r="B12" s="9" t="n">
        <f aca="false">SUM(C5:C9)</f>
        <v>1214.69124728228</v>
      </c>
      <c r="C12" s="2"/>
    </row>
    <row r="13" customFormat="false" ht="15" hidden="false" customHeight="false" outlineLevel="0" collapsed="false">
      <c r="A13" s="2" t="s">
        <v>16</v>
      </c>
      <c r="B13" s="17" t="n">
        <f aca="false">NPV(B2,B5:B9)</f>
        <v>1214.69124728228</v>
      </c>
      <c r="C13" s="2" t="s">
        <v>17</v>
      </c>
    </row>
    <row r="14" customFormat="false" ht="15" hidden="false" customHeight="false" outlineLevel="0" collapsed="false">
      <c r="B14" s="0"/>
      <c r="C14" s="0"/>
    </row>
    <row r="15" customFormat="false" ht="15" hidden="false" customHeight="false" outlineLevel="0" collapsed="false">
      <c r="B15" s="18" t="s">
        <v>18</v>
      </c>
      <c r="C15" s="19"/>
    </row>
    <row r="16" customFormat="false" ht="15" hidden="false" customHeight="false" outlineLevel="0" collapsed="false">
      <c r="B16" s="7" t="s">
        <v>19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15" activeCellId="0" sqref="B15"/>
    </sheetView>
  </sheetViews>
  <sheetFormatPr defaultRowHeight="15"/>
  <cols>
    <col collapsed="false" hidden="false" max="1" min="1" style="1" width="27.9352226720648"/>
    <col collapsed="false" hidden="false" max="2" min="2" style="1" width="9.68421052631579"/>
    <col collapsed="false" hidden="false" max="3" min="3" style="1" width="25.6234817813765"/>
    <col collapsed="false" hidden="false" max="4" min="4" style="1" width="20.2226720647773"/>
    <col collapsed="false" hidden="false" max="1025" min="5" style="1" width="10.5425101214575"/>
  </cols>
  <sheetData>
    <row r="1" customFormat="false" ht="15" hidden="false" customHeight="false" outlineLevel="0" collapsed="false">
      <c r="A1" s="0"/>
      <c r="B1" s="0"/>
      <c r="C1" s="0"/>
      <c r="D1" s="0"/>
      <c r="E1" s="0"/>
    </row>
    <row r="2" customFormat="false" ht="15" hidden="false" customHeight="false" outlineLevel="0" collapsed="false">
      <c r="A2" s="2" t="s">
        <v>2</v>
      </c>
      <c r="B2" s="2" t="s">
        <v>20</v>
      </c>
      <c r="C2" s="1" t="s">
        <v>1</v>
      </c>
      <c r="D2" s="1" t="s">
        <v>1</v>
      </c>
      <c r="E2" s="0"/>
    </row>
    <row r="3" customFormat="false" ht="15" hidden="false" customHeight="false" outlineLevel="0" collapsed="false">
      <c r="A3" s="1" t="s">
        <v>1</v>
      </c>
      <c r="B3" s="1" t="s">
        <v>1</v>
      </c>
      <c r="C3" s="1" t="s">
        <v>1</v>
      </c>
      <c r="D3" s="1" t="s">
        <v>1</v>
      </c>
      <c r="E3" s="0"/>
    </row>
    <row r="4" customFormat="false" ht="15" hidden="false" customHeight="false" outlineLevel="0" collapsed="false">
      <c r="A4" s="2" t="s">
        <v>3</v>
      </c>
      <c r="B4" s="2" t="s">
        <v>21</v>
      </c>
      <c r="C4" s="20" t="s">
        <v>14</v>
      </c>
      <c r="D4" s="1" t="s">
        <v>1</v>
      </c>
      <c r="E4" s="0"/>
    </row>
    <row r="5" customFormat="false" ht="15" hidden="false" customHeight="false" outlineLevel="0" collapsed="false">
      <c r="A5" s="2" t="n">
        <v>0</v>
      </c>
      <c r="B5" s="2" t="n">
        <v>-800</v>
      </c>
      <c r="C5" s="5" t="n">
        <f aca="false">B5/(1+B$2)^A5</f>
        <v>-800</v>
      </c>
      <c r="E5" s="0"/>
    </row>
    <row r="6" customFormat="false" ht="15" hidden="false" customHeight="false" outlineLevel="0" collapsed="false">
      <c r="A6" s="2" t="n">
        <v>1</v>
      </c>
      <c r="B6" s="2" t="n">
        <v>100</v>
      </c>
      <c r="C6" s="5" t="n">
        <f aca="false">B6/(1+B$2)^A6</f>
        <v>95.2380952380952</v>
      </c>
      <c r="D6" s="21"/>
      <c r="E6" s="0"/>
    </row>
    <row r="7" customFormat="false" ht="15" hidden="false" customHeight="false" outlineLevel="0" collapsed="false">
      <c r="A7" s="2" t="n">
        <v>2</v>
      </c>
      <c r="B7" s="2" t="n">
        <v>150</v>
      </c>
      <c r="C7" s="5" t="n">
        <f aca="false">B7/(1+B$2)^A7</f>
        <v>136.054421768707</v>
      </c>
      <c r="D7" s="21"/>
      <c r="E7" s="0"/>
    </row>
    <row r="8" customFormat="false" ht="15" hidden="false" customHeight="false" outlineLevel="0" collapsed="false">
      <c r="A8" s="2" t="n">
        <v>3</v>
      </c>
      <c r="B8" s="2" t="n">
        <v>200</v>
      </c>
      <c r="C8" s="5" t="n">
        <f aca="false">B8/(1+B$2)^A8</f>
        <v>172.767519706295</v>
      </c>
      <c r="E8" s="0"/>
    </row>
    <row r="9" customFormat="false" ht="15" hidden="false" customHeight="false" outlineLevel="0" collapsed="false">
      <c r="A9" s="2" t="n">
        <v>4</v>
      </c>
      <c r="B9" s="2" t="n">
        <v>250</v>
      </c>
      <c r="C9" s="5" t="n">
        <f aca="false">B9/(1+B$2)^A9</f>
        <v>205.67561869797</v>
      </c>
      <c r="E9" s="0"/>
    </row>
    <row r="10" customFormat="false" ht="15" hidden="false" customHeight="false" outlineLevel="0" collapsed="false">
      <c r="A10" s="2" t="n">
        <v>5</v>
      </c>
      <c r="B10" s="2" t="n">
        <v>300</v>
      </c>
      <c r="C10" s="5" t="n">
        <f aca="false">B10/(1+B$2)^A10</f>
        <v>235.057849940538</v>
      </c>
      <c r="E10" s="0"/>
    </row>
    <row r="11" customFormat="false" ht="15" hidden="false" customHeight="false" outlineLevel="0" collapsed="false">
      <c r="A11" s="1" t="s">
        <v>1</v>
      </c>
      <c r="B11" s="1" t="s">
        <v>1</v>
      </c>
      <c r="C11" s="1" t="s">
        <v>1</v>
      </c>
      <c r="D11" s="1" t="s">
        <v>1</v>
      </c>
      <c r="E11" s="0"/>
    </row>
    <row r="12" customFormat="false" ht="15" hidden="false" customHeight="false" outlineLevel="0" collapsed="false">
      <c r="A12" s="2" t="s">
        <v>22</v>
      </c>
      <c r="B12" s="1" t="s">
        <v>1</v>
      </c>
      <c r="C12" s="1" t="s">
        <v>1</v>
      </c>
      <c r="D12" s="7" t="n">
        <f aca="false">NPV(B2,B5:B10)</f>
        <v>42.6604812872437</v>
      </c>
      <c r="E12" s="15" t="s">
        <v>23</v>
      </c>
    </row>
    <row r="13" customFormat="false" ht="15" hidden="false" customHeight="false" outlineLevel="0" collapsed="false">
      <c r="A13" s="2" t="s">
        <v>8</v>
      </c>
      <c r="B13" s="17" t="n">
        <f aca="false">SUM(C5:C10)</f>
        <v>44.793505351606</v>
      </c>
      <c r="C13" s="2"/>
    </row>
    <row r="14" customFormat="false" ht="25.5" hidden="false" customHeight="false" outlineLevel="0" collapsed="false">
      <c r="A14" s="22" t="s">
        <v>24</v>
      </c>
      <c r="B14" s="17" t="n">
        <f aca="false">NPV(B$2,B6:B10) +B5</f>
        <v>44.793505351606</v>
      </c>
      <c r="C14" s="2"/>
    </row>
    <row r="15" customFormat="false" ht="25.5" hidden="false" customHeight="false" outlineLevel="0" collapsed="false">
      <c r="A15" s="22" t="s">
        <v>25</v>
      </c>
      <c r="B15" s="23" t="n">
        <f aca="false">NPV(B2,B5:B10)</f>
        <v>42.6604812872437</v>
      </c>
      <c r="C15" s="2" t="s">
        <v>26</v>
      </c>
      <c r="D15" s="0"/>
    </row>
    <row r="16" customFormat="false" ht="25.5" hidden="false" customHeight="false" outlineLevel="0" collapsed="false">
      <c r="A16" s="22" t="s">
        <v>27</v>
      </c>
      <c r="B16" s="24"/>
      <c r="C16" s="2"/>
      <c r="D16" s="0"/>
    </row>
    <row r="17" customFormat="false" ht="15" hidden="false" customHeight="false" outlineLevel="0" collapsed="false">
      <c r="A17" s="25" t="s">
        <v>28</v>
      </c>
      <c r="B17" s="26"/>
      <c r="C17" s="27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1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12" activeCellId="0" sqref="F12"/>
    </sheetView>
  </sheetViews>
  <sheetFormatPr defaultRowHeight="15"/>
  <cols>
    <col collapsed="false" hidden="false" max="3" min="3" style="0" width="17.995951417004"/>
    <col collapsed="false" hidden="false" max="4" min="4" style="0" width="11.9959514170041"/>
    <col collapsed="false" hidden="false" max="5" min="5" style="0" width="14.0526315789474"/>
    <col collapsed="false" hidden="false" max="6" min="6" style="0" width="12.8542510121458"/>
    <col collapsed="false" hidden="false" max="11" min="11" style="0" width="12.8542510121458"/>
  </cols>
  <sheetData>
    <row r="1" customFormat="false" ht="15" hidden="false" customHeight="false" outlineLevel="0" collapsed="false">
      <c r="F1" s="28" t="n">
        <v>1</v>
      </c>
    </row>
    <row r="2" customFormat="false" ht="15" hidden="false" customHeight="false" outlineLevel="0" collapsed="false">
      <c r="A2" s="29"/>
      <c r="B2" s="29"/>
      <c r="C2" s="29" t="s">
        <v>29</v>
      </c>
      <c r="D2" s="29"/>
      <c r="E2" s="29" t="s">
        <v>30</v>
      </c>
      <c r="F2" s="29" t="s">
        <v>31</v>
      </c>
      <c r="G2" s="30" t="s">
        <v>32</v>
      </c>
      <c r="H2" s="29"/>
      <c r="K2" s="0" t="s">
        <v>33</v>
      </c>
    </row>
    <row r="3" customFormat="false" ht="15" hidden="false" customHeight="false" outlineLevel="0" collapsed="false">
      <c r="A3" s="29"/>
      <c r="B3" s="31"/>
      <c r="C3" s="29" t="n">
        <v>36989</v>
      </c>
      <c r="D3" s="32"/>
      <c r="E3" s="29" t="n">
        <v>-900</v>
      </c>
      <c r="F3" s="33" t="n">
        <f aca="false">(C3-C$3)/365</f>
        <v>0</v>
      </c>
      <c r="G3" s="33" t="n">
        <f aca="false">1/(1+A$9)^F3</f>
        <v>1</v>
      </c>
      <c r="H3" s="29"/>
      <c r="K3" s="32" t="n">
        <v>36989</v>
      </c>
    </row>
    <row r="4" customFormat="false" ht="15" hidden="false" customHeight="false" outlineLevel="0" collapsed="false">
      <c r="A4" s="29"/>
      <c r="B4" s="31"/>
      <c r="C4" s="29" t="n">
        <v>37118</v>
      </c>
      <c r="D4" s="32"/>
      <c r="E4" s="29" t="n">
        <v>300</v>
      </c>
      <c r="F4" s="33" t="n">
        <f aca="false">(C4-C$3)/365</f>
        <v>0.353424657534247</v>
      </c>
      <c r="G4" s="33" t="n">
        <f aca="false">1/(1+A$9)^F4</f>
        <v>0.966876053892328</v>
      </c>
      <c r="H4" s="29"/>
      <c r="K4" s="32" t="n">
        <v>37118</v>
      </c>
    </row>
    <row r="5" customFormat="false" ht="15" hidden="false" customHeight="false" outlineLevel="0" collapsed="false">
      <c r="A5" s="29"/>
      <c r="B5" s="31"/>
      <c r="C5" s="29" t="n">
        <v>37271</v>
      </c>
      <c r="D5" s="32"/>
      <c r="E5" s="29" t="n">
        <v>400</v>
      </c>
      <c r="F5" s="33" t="n">
        <f aca="false">(C5-C$3)/365</f>
        <v>0.772602739726027</v>
      </c>
      <c r="G5" s="33" t="n">
        <f aca="false">1/(1+A$9)^F5</f>
        <v>0.929008950147744</v>
      </c>
      <c r="H5" s="29"/>
      <c r="K5" s="32" t="n">
        <v>37271</v>
      </c>
    </row>
    <row r="6" customFormat="false" ht="15" hidden="false" customHeight="false" outlineLevel="0" collapsed="false">
      <c r="A6" s="29"/>
      <c r="B6" s="31"/>
      <c r="C6" s="29" t="n">
        <v>37432</v>
      </c>
      <c r="D6" s="32"/>
      <c r="E6" s="29" t="n">
        <v>200</v>
      </c>
      <c r="F6" s="33" t="n">
        <f aca="false">(C6-C$3)/365</f>
        <v>1.21369863013699</v>
      </c>
      <c r="G6" s="33" t="n">
        <f aca="false">1/(1+A$9)^F6</f>
        <v>0.890762149761052</v>
      </c>
      <c r="H6" s="29"/>
      <c r="K6" s="32" t="n">
        <v>37432</v>
      </c>
    </row>
    <row r="7" customFormat="false" ht="15" hidden="false" customHeight="false" outlineLevel="0" collapsed="false">
      <c r="A7" s="29"/>
      <c r="B7" s="31"/>
      <c r="C7" s="29" t="n">
        <v>37805</v>
      </c>
      <c r="D7" s="32"/>
      <c r="E7" s="29" t="n">
        <v>100</v>
      </c>
      <c r="F7" s="33" t="n">
        <f aca="false">(C7-C$3)/365</f>
        <v>2.23561643835616</v>
      </c>
      <c r="G7" s="33" t="n">
        <f aca="false">1/(1+A$9)^F7</f>
        <v>0.808093907780907</v>
      </c>
      <c r="H7" s="29"/>
      <c r="K7" s="32" t="n">
        <v>37805</v>
      </c>
    </row>
    <row r="8" customFormat="false" ht="15" hidden="false" customHeight="false" outlineLevel="0" collapsed="false">
      <c r="A8" s="29" t="s">
        <v>34</v>
      </c>
      <c r="B8" s="31"/>
      <c r="C8" s="34" t="n">
        <f aca="false">C3+365</f>
        <v>37354</v>
      </c>
      <c r="D8" s="35"/>
      <c r="E8" s="34"/>
      <c r="F8" s="33" t="n">
        <f aca="false">(C8-C$3)/365</f>
        <v>1</v>
      </c>
      <c r="G8" s="33" t="n">
        <f aca="false">1/(1+A$9)^F8</f>
        <v>0.909090909090909</v>
      </c>
      <c r="H8" s="29"/>
      <c r="K8" s="35" t="n">
        <f aca="false">K3+365</f>
        <v>37354</v>
      </c>
    </row>
    <row r="9" customFormat="false" ht="15" hidden="false" customHeight="false" outlineLevel="0" collapsed="false">
      <c r="A9" s="36" t="n">
        <v>0.1</v>
      </c>
      <c r="B9" s="29"/>
      <c r="C9" s="29"/>
      <c r="D9" s="29"/>
      <c r="E9" s="29"/>
      <c r="F9" s="29"/>
      <c r="G9" s="29"/>
      <c r="H9" s="29"/>
    </row>
    <row r="10" customFormat="false" ht="15" hidden="false" customHeight="false" outlineLevel="0" collapsed="false">
      <c r="A10" s="29"/>
      <c r="B10" s="29"/>
      <c r="C10" s="29"/>
      <c r="D10" s="37"/>
      <c r="E10" s="37"/>
      <c r="F10" s="29"/>
      <c r="G10" s="38"/>
      <c r="H10" s="29"/>
      <c r="K10" s="39" t="n">
        <f aca="false">NPV(A9,E4:E7) + E3</f>
        <v>-78.1299091592106</v>
      </c>
      <c r="L10" s="0" t="s">
        <v>35</v>
      </c>
    </row>
    <row r="11" customFormat="false" ht="15" hidden="false" customHeight="false" outlineLevel="0" collapsed="false">
      <c r="A11" s="29"/>
      <c r="B11" s="29"/>
      <c r="C11" s="29"/>
      <c r="D11" s="40"/>
      <c r="E11" s="40"/>
      <c r="F11" s="29"/>
      <c r="G11" s="29"/>
      <c r="H11" s="29"/>
    </row>
    <row r="12" customFormat="false" ht="15" hidden="false" customHeight="false" outlineLevel="0" collapsed="false">
      <c r="A12" s="29"/>
      <c r="B12" s="29"/>
      <c r="C12" s="29"/>
      <c r="D12" s="29"/>
      <c r="E12" s="29" t="s">
        <v>36</v>
      </c>
      <c r="F12" s="29" t="n">
        <f aca="false">XNPV(A9,E3:E7,C3:C7)</f>
        <v>20.628216957097</v>
      </c>
      <c r="G12" s="29" t="n">
        <f aca="false">SUMPRODUCT(E3:E8,G3:G8)</f>
        <v>20.628216957097</v>
      </c>
      <c r="H12" s="29" t="s">
        <v>37</v>
      </c>
    </row>
    <row r="13" customFormat="false" ht="15" hidden="false" customHeight="false" outlineLevel="0" collapsed="false">
      <c r="F13" s="0" t="s">
        <v>38</v>
      </c>
    </row>
    <row r="15" customFormat="false" ht="15" hidden="false" customHeight="false" outlineLevel="0" collapsed="false">
      <c r="A15" s="1" t="s">
        <v>39</v>
      </c>
    </row>
    <row r="16" customFormat="false" ht="15" hidden="false" customHeight="false" outlineLevel="0" collapsed="false">
      <c r="A16" s="1" t="s">
        <v>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13" activeCellId="0" sqref="D13"/>
    </sheetView>
  </sheetViews>
  <sheetFormatPr defaultRowHeight="15"/>
  <cols>
    <col collapsed="false" hidden="false" max="1" min="1" style="0" width="11.9959514170041"/>
    <col collapsed="false" hidden="false" max="5" min="4" style="0" width="12.17004048583"/>
    <col collapsed="false" hidden="false" max="9" min="9" style="0" width="12.8542510121458"/>
  </cols>
  <sheetData>
    <row r="1" customFormat="false" ht="15" hidden="false" customHeight="false" outlineLevel="0" collapsed="false">
      <c r="B1" s="29"/>
      <c r="C1" s="29"/>
      <c r="D1" s="29"/>
      <c r="E1" s="29"/>
      <c r="F1" s="29"/>
      <c r="I1" s="41" t="s">
        <v>41</v>
      </c>
    </row>
    <row r="2" customFormat="false" ht="15" hidden="false" customHeight="false" outlineLevel="0" collapsed="false">
      <c r="A2" s="42" t="s">
        <v>42</v>
      </c>
      <c r="B2" s="42"/>
      <c r="C2" s="29" t="s">
        <v>43</v>
      </c>
      <c r="D2" s="29" t="s">
        <v>29</v>
      </c>
      <c r="E2" s="29" t="s">
        <v>30</v>
      </c>
      <c r="F2" s="29"/>
      <c r="G2" s="0" t="s">
        <v>31</v>
      </c>
    </row>
    <row r="3" customFormat="false" ht="15" hidden="false" customHeight="false" outlineLevel="0" collapsed="false">
      <c r="A3" s="29"/>
      <c r="B3" s="29"/>
      <c r="C3" s="29" t="n">
        <v>43067</v>
      </c>
      <c r="D3" s="32" t="n">
        <v>43067</v>
      </c>
      <c r="E3" s="33" t="n">
        <v>0</v>
      </c>
      <c r="F3" s="29"/>
      <c r="G3" s="43" t="n">
        <f aca="false">(D4-D$3)/365</f>
        <v>0.353424657534247</v>
      </c>
    </row>
    <row r="4" customFormat="false" ht="15" hidden="false" customHeight="false" outlineLevel="0" collapsed="false">
      <c r="A4" s="29"/>
      <c r="B4" s="29"/>
      <c r="C4" s="29" t="n">
        <v>43196</v>
      </c>
      <c r="D4" s="32" t="n">
        <v>43196</v>
      </c>
      <c r="E4" s="33" t="n">
        <v>-900</v>
      </c>
      <c r="F4" s="29"/>
      <c r="G4" s="43"/>
    </row>
    <row r="5" customFormat="false" ht="15" hidden="false" customHeight="false" outlineLevel="0" collapsed="false">
      <c r="A5" s="29"/>
      <c r="B5" s="29"/>
      <c r="C5" s="29" t="n">
        <v>43349</v>
      </c>
      <c r="D5" s="32" t="n">
        <v>43349</v>
      </c>
      <c r="E5" s="33" t="n">
        <v>300</v>
      </c>
      <c r="F5" s="29"/>
      <c r="G5" s="43"/>
    </row>
    <row r="6" customFormat="false" ht="15" hidden="false" customHeight="false" outlineLevel="0" collapsed="false">
      <c r="A6" s="29"/>
      <c r="B6" s="29"/>
      <c r="C6" s="29" t="n">
        <v>43875</v>
      </c>
      <c r="D6" s="32" t="n">
        <v>43875</v>
      </c>
      <c r="E6" s="33" t="n">
        <v>400</v>
      </c>
      <c r="F6" s="29"/>
      <c r="G6" s="43"/>
    </row>
    <row r="7" customFormat="false" ht="15" hidden="false" customHeight="false" outlineLevel="0" collapsed="false">
      <c r="A7" s="29"/>
      <c r="B7" s="29"/>
      <c r="C7" s="29" t="n">
        <v>43883</v>
      </c>
      <c r="D7" s="32" t="n">
        <v>43883</v>
      </c>
      <c r="E7" s="33" t="n">
        <v>200</v>
      </c>
      <c r="F7" s="29"/>
      <c r="G7" s="43"/>
    </row>
    <row r="8" customFormat="false" ht="15" hidden="false" customHeight="false" outlineLevel="0" collapsed="false">
      <c r="A8" s="29"/>
      <c r="B8" s="29"/>
      <c r="C8" s="29" t="n">
        <v>43743</v>
      </c>
      <c r="D8" s="32" t="n">
        <v>43743</v>
      </c>
      <c r="E8" s="33" t="n">
        <v>100</v>
      </c>
      <c r="F8" s="29"/>
      <c r="G8" s="43"/>
    </row>
    <row r="9" customFormat="false" ht="15" hidden="false" customHeight="false" outlineLevel="0" collapsed="false">
      <c r="A9" s="29" t="s">
        <v>34</v>
      </c>
      <c r="B9" s="29"/>
      <c r="C9" s="29"/>
      <c r="D9" s="44"/>
      <c r="E9" s="29"/>
      <c r="F9" s="29"/>
    </row>
    <row r="10" customFormat="false" ht="15" hidden="false" customHeight="false" outlineLevel="0" collapsed="false">
      <c r="A10" s="36" t="n">
        <v>0.1</v>
      </c>
      <c r="B10" s="29"/>
      <c r="C10" s="29"/>
      <c r="D10" s="29"/>
      <c r="E10" s="29"/>
      <c r="F10" s="29"/>
    </row>
    <row r="11" customFormat="false" ht="15" hidden="false" customHeight="false" outlineLevel="0" collapsed="false">
      <c r="A11" s="29"/>
      <c r="B11" s="29"/>
      <c r="C11" s="29"/>
      <c r="D11" s="45" t="s">
        <v>42</v>
      </c>
      <c r="E11" s="45"/>
      <c r="F11" s="29"/>
    </row>
    <row r="12" customFormat="false" ht="15" hidden="false" customHeight="false" outlineLevel="0" collapsed="false">
      <c r="A12" s="29"/>
      <c r="B12" s="29"/>
      <c r="C12" s="29"/>
      <c r="D12" s="46"/>
      <c r="E12" s="46"/>
      <c r="F12" s="29"/>
    </row>
    <row r="13" customFormat="false" ht="15" hidden="false" customHeight="false" outlineLevel="0" collapsed="false">
      <c r="D13" s="0" t="n">
        <f aca="false">XNPV(A10,E3:E8,D3:D8)</f>
        <v>-22.1352441625921</v>
      </c>
    </row>
  </sheetData>
  <mergeCells count="2">
    <mergeCell ref="D11:E11"/>
    <mergeCell ref="D12:E1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5"/>
  <sheetViews>
    <sheetView windowProtection="false" showFormulas="false" showGridLines="true" showRowColHeaders="true" showZeros="true" rightToLeft="false" tabSelected="false" showOutlineSymbols="true" defaultGridColor="true" view="normal" topLeftCell="I7" colorId="64" zoomScale="130" zoomScaleNormal="130" zoomScalePageLayoutView="100" workbookViewId="0">
      <selection pane="topLeft" activeCell="D35" activeCellId="0" sqref="D35"/>
    </sheetView>
  </sheetViews>
  <sheetFormatPr defaultRowHeight="15"/>
  <cols>
    <col collapsed="false" hidden="false" max="1" min="1" style="1" width="28.5384615384615"/>
    <col collapsed="false" hidden="false" max="2" min="2" style="1" width="9.68421052631579"/>
    <col collapsed="false" hidden="false" max="3" min="3" style="1" width="25.6234817813765"/>
    <col collapsed="false" hidden="false" max="4" min="4" style="1" width="15.9392712550607"/>
    <col collapsed="false" hidden="false" max="1025" min="5" style="1" width="10.5425101214575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</row>
    <row r="2" customFormat="false" ht="15" hidden="false" customHeight="false" outlineLevel="0" collapsed="false">
      <c r="A2" s="2" t="s">
        <v>2</v>
      </c>
      <c r="B2" s="2" t="s">
        <v>20</v>
      </c>
      <c r="C2" s="1" t="s">
        <v>1</v>
      </c>
      <c r="D2" s="1" t="s">
        <v>1</v>
      </c>
      <c r="E2" s="0"/>
      <c r="F2" s="0"/>
      <c r="G2" s="0"/>
    </row>
    <row r="3" customFormat="false" ht="15" hidden="false" customHeight="false" outlineLevel="0" collapsed="false">
      <c r="A3" s="1" t="s">
        <v>1</v>
      </c>
      <c r="B3" s="1" t="s">
        <v>1</v>
      </c>
      <c r="C3" s="1" t="s">
        <v>1</v>
      </c>
      <c r="D3" s="1" t="s">
        <v>1</v>
      </c>
      <c r="E3" s="0"/>
      <c r="F3" s="0"/>
      <c r="G3" s="0"/>
    </row>
    <row r="4" customFormat="false" ht="15" hidden="false" customHeight="false" outlineLevel="0" collapsed="false">
      <c r="A4" s="2" t="s">
        <v>3</v>
      </c>
      <c r="B4" s="2" t="s">
        <v>21</v>
      </c>
      <c r="C4" s="2" t="s">
        <v>14</v>
      </c>
      <c r="D4" s="1" t="s">
        <v>1</v>
      </c>
      <c r="E4" s="0"/>
      <c r="F4" s="0"/>
      <c r="G4" s="0"/>
    </row>
    <row r="5" customFormat="false" ht="15" hidden="false" customHeight="false" outlineLevel="0" collapsed="false">
      <c r="A5" s="2" t="n">
        <v>0</v>
      </c>
      <c r="B5" s="2" t="n">
        <v>-800</v>
      </c>
      <c r="C5" s="5" t="n">
        <f aca="false">B5/(1+B$2)^A5</f>
        <v>-800</v>
      </c>
      <c r="E5" s="0"/>
      <c r="F5" s="0"/>
      <c r="G5" s="0"/>
    </row>
    <row r="6" customFormat="false" ht="15" hidden="false" customHeight="false" outlineLevel="0" collapsed="false">
      <c r="A6" s="2" t="n">
        <v>1</v>
      </c>
      <c r="B6" s="2" t="n">
        <v>100</v>
      </c>
      <c r="C6" s="5" t="n">
        <f aca="false">B6/(1+B$2)^A6</f>
        <v>95.2380952380952</v>
      </c>
      <c r="D6" s="2"/>
      <c r="E6" s="0"/>
      <c r="F6" s="0"/>
      <c r="G6" s="0"/>
    </row>
    <row r="7" customFormat="false" ht="15" hidden="false" customHeight="false" outlineLevel="0" collapsed="false">
      <c r="A7" s="2" t="n">
        <v>2</v>
      </c>
      <c r="B7" s="2" t="n">
        <v>150</v>
      </c>
      <c r="C7" s="5" t="n">
        <f aca="false">B7/(1+B$2)^A7</f>
        <v>136.054421768707</v>
      </c>
      <c r="D7" s="2"/>
      <c r="E7" s="0"/>
      <c r="F7" s="0"/>
      <c r="G7" s="0"/>
    </row>
    <row r="8" customFormat="false" ht="15" hidden="false" customHeight="false" outlineLevel="0" collapsed="false">
      <c r="A8" s="2" t="n">
        <v>3</v>
      </c>
      <c r="B8" s="2" t="n">
        <v>200</v>
      </c>
      <c r="C8" s="5" t="n">
        <f aca="false">B8/(1+B$2)^A8</f>
        <v>172.767519706295</v>
      </c>
      <c r="E8" s="0"/>
      <c r="F8" s="0"/>
      <c r="G8" s="0"/>
    </row>
    <row r="9" customFormat="false" ht="15" hidden="false" customHeight="false" outlineLevel="0" collapsed="false">
      <c r="A9" s="2" t="n">
        <v>4</v>
      </c>
      <c r="B9" s="2" t="n">
        <v>250</v>
      </c>
      <c r="C9" s="5" t="n">
        <f aca="false">B9/(1+B$2)^A9</f>
        <v>205.67561869797</v>
      </c>
      <c r="E9" s="0"/>
      <c r="F9" s="0"/>
      <c r="G9" s="0"/>
    </row>
    <row r="10" customFormat="false" ht="15" hidden="false" customHeight="false" outlineLevel="0" collapsed="false">
      <c r="A10" s="2" t="n">
        <v>5</v>
      </c>
      <c r="B10" s="2" t="n">
        <v>300</v>
      </c>
      <c r="C10" s="5" t="n">
        <f aca="false">B10/(1+B$2)^A10</f>
        <v>235.057849940538</v>
      </c>
      <c r="E10" s="0"/>
      <c r="F10" s="0"/>
      <c r="G10" s="0"/>
    </row>
    <row r="11" customFormat="false" ht="15" hidden="false" customHeight="false" outlineLevel="0" collapsed="false">
      <c r="A11" s="1" t="s">
        <v>1</v>
      </c>
      <c r="B11" s="1" t="s">
        <v>1</v>
      </c>
      <c r="C11" s="1" t="s">
        <v>1</v>
      </c>
      <c r="D11" s="1" t="s">
        <v>1</v>
      </c>
      <c r="E11" s="47"/>
      <c r="F11" s="0"/>
      <c r="G11" s="0"/>
    </row>
    <row r="12" customFormat="false" ht="15" hidden="false" customHeight="false" outlineLevel="0" collapsed="false">
      <c r="A12" s="2" t="s">
        <v>22</v>
      </c>
      <c r="B12" s="1" t="s">
        <v>1</v>
      </c>
      <c r="C12" s="1" t="s">
        <v>1</v>
      </c>
      <c r="D12" s="1" t="s">
        <v>1</v>
      </c>
      <c r="E12" s="0"/>
      <c r="F12" s="0"/>
      <c r="G12" s="0"/>
    </row>
    <row r="13" customFormat="false" ht="15" hidden="false" customHeight="false" outlineLevel="0" collapsed="false">
      <c r="A13" s="2" t="s">
        <v>8</v>
      </c>
      <c r="B13" s="17" t="n">
        <f aca="false">SUM(C5:C10)</f>
        <v>44.793505351606</v>
      </c>
      <c r="C13" s="2"/>
      <c r="E13" s="0"/>
      <c r="F13" s="0"/>
      <c r="G13" s="0"/>
    </row>
    <row r="14" customFormat="false" ht="25.5" hidden="false" customHeight="false" outlineLevel="0" collapsed="false">
      <c r="A14" s="22" t="s">
        <v>24</v>
      </c>
      <c r="B14" s="17" t="n">
        <f aca="false">NPV(B2,B6:B10)+B5</f>
        <v>44.793505351606</v>
      </c>
      <c r="C14" s="2"/>
      <c r="E14" s="0"/>
      <c r="F14" s="0"/>
      <c r="G14" s="0"/>
    </row>
    <row r="15" customFormat="false" ht="15" hidden="false" customHeight="false" outlineLevel="0" collapsed="false">
      <c r="A15" s="1" t="s">
        <v>1</v>
      </c>
      <c r="B15" s="1" t="s">
        <v>1</v>
      </c>
      <c r="C15" s="1" t="s">
        <v>1</v>
      </c>
      <c r="D15" s="1" t="s">
        <v>1</v>
      </c>
      <c r="E15" s="0"/>
      <c r="F15" s="0"/>
      <c r="G15" s="0"/>
    </row>
    <row r="16" customFormat="false" ht="15" hidden="false" customHeight="false" outlineLevel="0" collapsed="false">
      <c r="A16" s="2" t="s">
        <v>44</v>
      </c>
      <c r="B16" s="2" t="s">
        <v>45</v>
      </c>
      <c r="C16" s="1" t="s">
        <v>1</v>
      </c>
      <c r="D16" s="1" t="s">
        <v>1</v>
      </c>
      <c r="E16" s="0"/>
      <c r="F16" s="0"/>
      <c r="G16" s="0"/>
    </row>
    <row r="17" customFormat="false" ht="15" hidden="false" customHeight="false" outlineLevel="0" collapsed="false">
      <c r="A17" s="48" t="n">
        <v>0</v>
      </c>
      <c r="B17" s="17" t="n">
        <f aca="false">NPV(A17,$B$6:$B$10) + $B$5</f>
        <v>200</v>
      </c>
      <c r="C17" s="21"/>
      <c r="E17" s="0"/>
      <c r="F17" s="0"/>
      <c r="G17" s="0"/>
    </row>
    <row r="18" customFormat="false" ht="15" hidden="false" customHeight="false" outlineLevel="0" collapsed="false">
      <c r="A18" s="48" t="n">
        <v>0.01</v>
      </c>
      <c r="B18" s="17" t="n">
        <f aca="false">NPV(A18,$B$6:$B$10) + $B$5</f>
        <v>165.857130389395</v>
      </c>
      <c r="C18" s="21"/>
      <c r="E18" s="0"/>
      <c r="F18" s="0"/>
      <c r="G18" s="0"/>
    </row>
    <row r="19" customFormat="false" ht="15" hidden="false" customHeight="false" outlineLevel="0" collapsed="false">
      <c r="A19" s="48" t="n">
        <v>0.02</v>
      </c>
      <c r="B19" s="17" t="n">
        <f aca="false">NPV(A19,$B$6:$B$10) + $B$5</f>
        <v>133.359599236985</v>
      </c>
      <c r="C19" s="21"/>
      <c r="E19" s="0"/>
      <c r="F19" s="0"/>
      <c r="G19" s="0"/>
    </row>
    <row r="20" customFormat="false" ht="15" hidden="false" customHeight="false" outlineLevel="0" collapsed="false">
      <c r="A20" s="48" t="n">
        <v>0.03</v>
      </c>
      <c r="B20" s="17" t="n">
        <f aca="false">NPV(A20,$B$6:$B$10) + $B$5</f>
        <v>102.409494175643</v>
      </c>
      <c r="D20" s="0"/>
      <c r="E20" s="0"/>
      <c r="F20" s="0"/>
      <c r="G20" s="0"/>
    </row>
    <row r="21" customFormat="false" ht="15" hidden="false" customHeight="false" outlineLevel="0" collapsed="false">
      <c r="A21" s="48" t="n">
        <v>0.04</v>
      </c>
      <c r="B21" s="17" t="n">
        <f aca="false">NPV(A21,$B$6:$B$10) + $B$5</f>
        <v>72.9157296259288</v>
      </c>
      <c r="D21" s="0"/>
      <c r="E21" s="0"/>
      <c r="F21" s="0"/>
      <c r="G21" s="0"/>
    </row>
    <row r="22" customFormat="false" ht="15" hidden="false" customHeight="false" outlineLevel="0" collapsed="false">
      <c r="A22" s="48" t="n">
        <v>0.05</v>
      </c>
      <c r="B22" s="17" t="n">
        <f aca="false">NPV(A22,$B$6:$B$10) + $B$5</f>
        <v>44.793505351606</v>
      </c>
      <c r="D22" s="0"/>
      <c r="E22" s="0"/>
      <c r="F22" s="0"/>
      <c r="G22" s="0"/>
    </row>
    <row r="23" customFormat="false" ht="15" hidden="false" customHeight="false" outlineLevel="0" collapsed="false">
      <c r="A23" s="48" t="n">
        <v>0.06</v>
      </c>
      <c r="B23" s="17" t="n">
        <f aca="false">NPV(A23,$B$6:$B$10) + $B$5</f>
        <v>17.9638129194279</v>
      </c>
      <c r="D23" s="0"/>
      <c r="E23" s="0"/>
      <c r="F23" s="0"/>
      <c r="G23" s="0"/>
    </row>
    <row r="24" customFormat="false" ht="15" hidden="false" customHeight="false" outlineLevel="0" collapsed="false">
      <c r="A24" s="48" t="n">
        <v>0.07</v>
      </c>
      <c r="B24" s="17" t="n">
        <f aca="false">NPV(A24,$B$6:$B$10) + $B$5</f>
        <v>-7.6470145986325</v>
      </c>
      <c r="D24" s="0"/>
      <c r="E24" s="0"/>
      <c r="F24" s="49"/>
      <c r="G24" s="50"/>
    </row>
    <row r="25" customFormat="false" ht="15" hidden="false" customHeight="false" outlineLevel="0" collapsed="false">
      <c r="A25" s="48" t="n">
        <v>0.08</v>
      </c>
      <c r="B25" s="17" t="n">
        <f aca="false">NPV(A25,$B$6:$B$10) + $B$5</f>
        <v>-32.1077138488669</v>
      </c>
      <c r="D25" s="0"/>
      <c r="E25" s="0"/>
    </row>
    <row r="26" customFormat="false" ht="15" hidden="false" customHeight="false" outlineLevel="0" collapsed="false">
      <c r="A26" s="48" t="n">
        <v>0.09</v>
      </c>
      <c r="B26" s="17" t="n">
        <f aca="false">NPV(A26,$B$6:$B$10) + $B$5</f>
        <v>-55.4824670759455</v>
      </c>
      <c r="D26" s="0"/>
      <c r="E26" s="0"/>
    </row>
    <row r="27" customFormat="false" ht="15" hidden="false" customHeight="false" outlineLevel="0" collapsed="false">
      <c r="A27" s="48" t="n">
        <v>0.1</v>
      </c>
      <c r="B27" s="17" t="n">
        <f aca="false">NPV(A27,$B$6:$B$10) + $B$5</f>
        <v>-77.8312460028192</v>
      </c>
      <c r="D27" s="0"/>
      <c r="E27" s="0"/>
    </row>
    <row r="28" customFormat="false" ht="15" hidden="false" customHeight="false" outlineLevel="0" collapsed="false">
      <c r="A28" s="48" t="n">
        <v>0.11</v>
      </c>
      <c r="B28" s="17" t="n">
        <f aca="false">NPV(A28,$B$6:$B$10) + $B$5</f>
        <v>-99.2101267092941</v>
      </c>
      <c r="D28" s="0"/>
      <c r="E28" s="0"/>
    </row>
    <row r="29" customFormat="false" ht="15" hidden="false" customHeight="false" outlineLevel="0" collapsed="false">
      <c r="A29" s="48" t="n">
        <v>0.12</v>
      </c>
      <c r="B29" s="17" t="n">
        <f aca="false">NPV(A29,$B$6:$B$10) + $B$5</f>
        <v>-119.671578202163</v>
      </c>
      <c r="D29" s="0"/>
      <c r="E29" s="0"/>
    </row>
    <row r="30" customFormat="false" ht="15" hidden="false" customHeight="false" outlineLevel="0" collapsed="false">
      <c r="A30" s="48" t="n">
        <v>0.13</v>
      </c>
      <c r="B30" s="17" t="n">
        <f aca="false">NPV(A30,$B$6:$B$10) + $B$5</f>
        <v>-139.264727097474</v>
      </c>
      <c r="D30" s="0"/>
      <c r="E30" s="0"/>
    </row>
    <row r="31" customFormat="false" ht="15" hidden="false" customHeight="false" outlineLevel="0" collapsed="false">
      <c r="A31" s="48" t="n">
        <v>0.14</v>
      </c>
      <c r="B31" s="17" t="n">
        <f aca="false">NPV(A31,$B$6:$B$10) + $B$5</f>
        <v>-158.035600592946</v>
      </c>
      <c r="D31" s="0"/>
      <c r="E31" s="0"/>
    </row>
    <row r="32" customFormat="false" ht="15" hidden="false" customHeight="false" outlineLevel="0" collapsed="false">
      <c r="A32" s="48" t="n">
        <v>0.15</v>
      </c>
      <c r="B32" s="17" t="n">
        <f aca="false">NPV(A32,$B$6:$B$10) + $B$5</f>
        <v>-176.027349692209</v>
      </c>
      <c r="D32" s="0"/>
      <c r="E32" s="0"/>
    </row>
    <row r="33" customFormat="false" ht="15" hidden="false" customHeight="false" outlineLevel="0" collapsed="false">
      <c r="A33" s="48" t="n">
        <v>0.16</v>
      </c>
      <c r="B33" s="17" t="n">
        <f aca="false">NPV(A33,$B$6:$B$10) + $B$5</f>
        <v>-193.280454449431</v>
      </c>
      <c r="D33" s="51" t="s">
        <v>46</v>
      </c>
      <c r="E33" s="0"/>
    </row>
    <row r="34" customFormat="false" ht="15" hidden="false" customHeight="false" outlineLevel="0" collapsed="false">
      <c r="A34" s="48"/>
      <c r="D34" s="0"/>
      <c r="E34" s="0"/>
    </row>
    <row r="35" customFormat="false" ht="15" hidden="false" customHeight="false" outlineLevel="0" collapsed="false">
      <c r="A35" s="48"/>
      <c r="D35" s="47" t="n">
        <f aca="false">IRR(B5:B10)</f>
        <v>0.0669654907356385</v>
      </c>
      <c r="E35" s="1" t="s">
        <v>47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8" activeCellId="0" sqref="B8"/>
    </sheetView>
  </sheetViews>
  <sheetFormatPr defaultRowHeight="15"/>
  <cols>
    <col collapsed="false" hidden="false" max="1" min="1" style="1" width="6.68421052631579"/>
    <col collapsed="false" hidden="false" max="2" min="2" style="1" width="10.1133603238866"/>
    <col collapsed="false" hidden="false" max="3" min="3" style="1" width="14.8259109311741"/>
    <col collapsed="false" hidden="false" max="1025" min="4" style="1" width="10.5425101214575"/>
  </cols>
  <sheetData>
    <row r="1" customFormat="false" ht="15" hidden="false" customHeight="false" outlineLevel="0" collapsed="false">
      <c r="A1" s="2" t="s">
        <v>3</v>
      </c>
      <c r="B1" s="2" t="s">
        <v>21</v>
      </c>
      <c r="D1" s="52" t="s">
        <v>48</v>
      </c>
      <c r="E1" s="52"/>
      <c r="F1" s="52"/>
      <c r="G1" s="52"/>
    </row>
    <row r="2" customFormat="false" ht="15" hidden="false" customHeight="false" outlineLevel="0" collapsed="false">
      <c r="A2" s="2" t="n">
        <v>0</v>
      </c>
      <c r="B2" s="2" t="n">
        <v>-800</v>
      </c>
      <c r="D2" s="2" t="s">
        <v>3</v>
      </c>
      <c r="E2" s="2" t="s">
        <v>49</v>
      </c>
      <c r="F2" s="1" t="s">
        <v>1</v>
      </c>
    </row>
    <row r="3" customFormat="false" ht="15" hidden="false" customHeight="false" outlineLevel="0" collapsed="false">
      <c r="A3" s="2" t="n">
        <v>1</v>
      </c>
      <c r="B3" s="2" t="n">
        <v>100</v>
      </c>
      <c r="D3" s="2" t="n">
        <v>0</v>
      </c>
      <c r="E3" s="2" t="n">
        <v>-1000</v>
      </c>
      <c r="F3" s="1" t="s">
        <v>1</v>
      </c>
    </row>
    <row r="4" customFormat="false" ht="15" hidden="false" customHeight="false" outlineLevel="0" collapsed="false">
      <c r="A4" s="2" t="n">
        <v>2</v>
      </c>
      <c r="B4" s="2" t="n">
        <v>150</v>
      </c>
      <c r="D4" s="2" t="n">
        <v>1</v>
      </c>
      <c r="E4" s="2" t="n">
        <v>300</v>
      </c>
      <c r="F4" s="1" t="s">
        <v>1</v>
      </c>
    </row>
    <row r="5" customFormat="false" ht="15" hidden="false" customHeight="false" outlineLevel="0" collapsed="false">
      <c r="A5" s="2" t="n">
        <v>3</v>
      </c>
      <c r="B5" s="2" t="n">
        <v>200</v>
      </c>
      <c r="D5" s="2" t="n">
        <v>2</v>
      </c>
      <c r="E5" s="2" t="n">
        <v>300</v>
      </c>
      <c r="F5" s="1" t="s">
        <v>1</v>
      </c>
    </row>
    <row r="6" customFormat="false" ht="15" hidden="false" customHeight="false" outlineLevel="0" collapsed="false">
      <c r="A6" s="2" t="n">
        <v>4</v>
      </c>
      <c r="B6" s="2" t="n">
        <v>250</v>
      </c>
      <c r="D6" s="2" t="n">
        <v>3</v>
      </c>
      <c r="E6" s="2" t="n">
        <v>300</v>
      </c>
      <c r="F6" s="1" t="s">
        <v>1</v>
      </c>
    </row>
    <row r="7" customFormat="false" ht="15" hidden="false" customHeight="false" outlineLevel="0" collapsed="false">
      <c r="A7" s="2" t="n">
        <v>5</v>
      </c>
      <c r="B7" s="2" t="n">
        <v>300</v>
      </c>
      <c r="D7" s="2" t="n">
        <v>4</v>
      </c>
      <c r="E7" s="2" t="n">
        <v>300</v>
      </c>
      <c r="F7" s="1" t="s">
        <v>1</v>
      </c>
    </row>
    <row r="8" customFormat="false" ht="15" hidden="false" customHeight="false" outlineLevel="0" collapsed="false">
      <c r="A8" s="1" t="s">
        <v>50</v>
      </c>
      <c r="B8" s="53" t="n">
        <f aca="false">IRR(B2:B7)</f>
        <v>0.0669654907356385</v>
      </c>
      <c r="D8" s="1" t="s">
        <v>1</v>
      </c>
      <c r="E8" s="1" t="s">
        <v>1</v>
      </c>
      <c r="F8" s="1" t="s">
        <v>1</v>
      </c>
    </row>
    <row r="9" customFormat="false" ht="15" hidden="false" customHeight="false" outlineLevel="0" collapsed="false">
      <c r="B9" s="19"/>
      <c r="D9" s="2" t="s">
        <v>51</v>
      </c>
      <c r="E9" s="3" t="n">
        <f aca="false">IRR(E3:E7)</f>
        <v>0.0771384729520836</v>
      </c>
      <c r="F9" s="2"/>
    </row>
    <row r="10" customFormat="false" ht="15" hidden="false" customHeight="false" outlineLevel="0" collapsed="false">
      <c r="B10" s="0"/>
    </row>
    <row r="11" customFormat="false" ht="15" hidden="false" customHeight="false" outlineLevel="0" collapsed="false">
      <c r="B11" s="7" t="n">
        <f aca="false">NPV(B8,B3:B7)</f>
        <v>800</v>
      </c>
    </row>
  </sheetData>
  <mergeCells count="1">
    <mergeCell ref="D1:G1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H8" activeCellId="0" sqref="H8"/>
    </sheetView>
  </sheetViews>
  <sheetFormatPr defaultRowHeight="12.75"/>
  <cols>
    <col collapsed="false" hidden="false" max="1" min="1" style="15" width="5.74089068825911"/>
    <col collapsed="false" hidden="false" max="3" min="2" style="15" width="13.7975708502024"/>
    <col collapsed="false" hidden="false" max="4" min="4" style="15" width="14.8259109311741"/>
    <col collapsed="false" hidden="false" max="5" min="5" style="15" width="11.9959514170041"/>
    <col collapsed="false" hidden="false" max="7" min="6" style="15" width="10.5425101214575"/>
    <col collapsed="false" hidden="false" max="8" min="8" style="15" width="15.8542510121457"/>
    <col collapsed="false" hidden="false" max="1025" min="9" style="15" width="10.5425101214575"/>
  </cols>
  <sheetData>
    <row r="1" customFormat="false" ht="12.75" hidden="false" customHeight="false" outlineLevel="0" collapsed="false">
      <c r="A1" s="54" t="s">
        <v>52</v>
      </c>
      <c r="B1" s="54"/>
      <c r="C1" s="54"/>
      <c r="D1" s="54"/>
      <c r="E1" s="55"/>
      <c r="H1" s="0"/>
      <c r="I1" s="0"/>
    </row>
    <row r="2" customFormat="false" ht="25.5" hidden="false" customHeight="false" outlineLevel="0" collapsed="false">
      <c r="A2" s="56" t="s">
        <v>53</v>
      </c>
      <c r="B2" s="57" t="s">
        <v>54</v>
      </c>
      <c r="C2" s="57" t="s">
        <v>55</v>
      </c>
      <c r="D2" s="15" t="s">
        <v>1</v>
      </c>
      <c r="E2" s="0"/>
      <c r="H2" s="0"/>
      <c r="I2" s="0"/>
    </row>
    <row r="3" customFormat="false" ht="12.75" hidden="false" customHeight="false" outlineLevel="0" collapsed="false">
      <c r="A3" s="58" t="n">
        <v>0</v>
      </c>
      <c r="B3" s="59" t="n">
        <v>-1000</v>
      </c>
      <c r="C3" s="59" t="n">
        <v>-1000</v>
      </c>
      <c r="D3" s="15" t="s">
        <v>1</v>
      </c>
      <c r="E3" s="60" t="s">
        <v>56</v>
      </c>
      <c r="H3" s="15" t="s">
        <v>57</v>
      </c>
      <c r="I3" s="0"/>
    </row>
    <row r="4" customFormat="false" ht="12.75" hidden="false" customHeight="false" outlineLevel="0" collapsed="false">
      <c r="A4" s="58" t="n">
        <v>1</v>
      </c>
      <c r="B4" s="59" t="n">
        <v>450</v>
      </c>
      <c r="C4" s="59" t="n">
        <v>550</v>
      </c>
      <c r="D4" s="15" t="s">
        <v>1</v>
      </c>
      <c r="E4" s="60" t="s">
        <v>58</v>
      </c>
      <c r="H4" s="60" t="n">
        <v>42443</v>
      </c>
      <c r="I4" s="15" t="n">
        <v>-100000</v>
      </c>
    </row>
    <row r="5" customFormat="false" ht="12.75" hidden="false" customHeight="false" outlineLevel="0" collapsed="false">
      <c r="A5" s="58" t="n">
        <v>2</v>
      </c>
      <c r="B5" s="59" t="n">
        <v>425</v>
      </c>
      <c r="C5" s="59" t="n">
        <v>300</v>
      </c>
      <c r="D5" s="15" t="s">
        <v>1</v>
      </c>
      <c r="E5" s="60" t="s">
        <v>59</v>
      </c>
      <c r="H5" s="60" t="n">
        <v>42460</v>
      </c>
      <c r="I5" s="15" t="n">
        <v>50000</v>
      </c>
    </row>
    <row r="6" customFormat="false" ht="12.75" hidden="false" customHeight="false" outlineLevel="0" collapsed="false">
      <c r="A6" s="58" t="n">
        <v>3</v>
      </c>
      <c r="B6" s="59" t="n">
        <v>350</v>
      </c>
      <c r="C6" s="59" t="n">
        <v>475</v>
      </c>
      <c r="D6" s="15" t="s">
        <v>1</v>
      </c>
      <c r="E6" s="60" t="n">
        <v>42648</v>
      </c>
      <c r="H6" s="60" t="n">
        <v>42475</v>
      </c>
      <c r="I6" s="15" t="n">
        <v>4000</v>
      </c>
    </row>
    <row r="7" customFormat="false" ht="12.75" hidden="false" customHeight="false" outlineLevel="0" collapsed="false">
      <c r="A7" s="58" t="n">
        <v>4</v>
      </c>
      <c r="B7" s="59" t="n">
        <v>450</v>
      </c>
      <c r="C7" s="59" t="n">
        <v>200</v>
      </c>
      <c r="D7" s="15" t="s">
        <v>1</v>
      </c>
      <c r="E7" s="60" t="n">
        <v>42684</v>
      </c>
      <c r="H7" s="60" t="n">
        <v>42500</v>
      </c>
      <c r="I7" s="15" t="n">
        <v>5000</v>
      </c>
    </row>
    <row r="8" customFormat="false" ht="12.75" hidden="false" customHeight="false" outlineLevel="0" collapsed="false">
      <c r="A8" s="15" t="s">
        <v>1</v>
      </c>
      <c r="B8" s="61" t="s">
        <v>1</v>
      </c>
      <c r="C8" s="61" t="s">
        <v>1</v>
      </c>
      <c r="D8" s="15" t="s">
        <v>1</v>
      </c>
      <c r="E8" s="60" t="n">
        <v>39084</v>
      </c>
      <c r="H8" s="60" t="n">
        <v>42654</v>
      </c>
      <c r="I8" s="15" t="n">
        <v>16000</v>
      </c>
    </row>
    <row r="9" customFormat="false" ht="12.75" hidden="false" customHeight="false" outlineLevel="0" collapsed="false">
      <c r="A9" s="58" t="s">
        <v>60</v>
      </c>
      <c r="B9" s="62" t="n">
        <f aca="false">IRR(B3:B7)</f>
        <v>0.247439760380921</v>
      </c>
      <c r="C9" s="62" t="n">
        <f aca="false">IRR(C3:C7)</f>
        <v>0.222598802490521</v>
      </c>
      <c r="D9" s="58"/>
      <c r="E9" s="0"/>
      <c r="H9" s="60" t="n">
        <v>42737</v>
      </c>
      <c r="I9" s="15" t="n">
        <v>34000</v>
      </c>
    </row>
    <row r="10" customFormat="false" ht="12.75" hidden="false" customHeight="false" outlineLevel="0" collapsed="false">
      <c r="A10" s="0"/>
      <c r="B10" s="0"/>
      <c r="C10" s="0"/>
      <c r="E10" s="0"/>
      <c r="I10" s="15" t="n">
        <f aca="false">XIRR(I4:I9,H4:H9)</f>
        <v>0.276040454212806</v>
      </c>
    </row>
    <row r="11" customFormat="false" ht="12.75" hidden="false" customHeight="false" outlineLevel="0" collapsed="false">
      <c r="A11" s="0"/>
      <c r="B11" s="63" t="n">
        <f aca="false">NPV(B9,B3:B7)</f>
        <v>5.6843418860808E-014</v>
      </c>
      <c r="C11" s="63" t="n">
        <f aca="false">NPV(C9,C3:C7)</f>
        <v>1.4210854715202E-013</v>
      </c>
      <c r="E11" s="0"/>
    </row>
    <row r="12" customFormat="false" ht="12.75" hidden="false" customHeight="false" outlineLevel="0" collapsed="false">
      <c r="A12" s="0"/>
      <c r="B12" s="0"/>
      <c r="C12" s="0"/>
      <c r="E12" s="15" t="s">
        <v>61</v>
      </c>
    </row>
    <row r="13" customFormat="false" ht="12.75" hidden="false" customHeight="false" outlineLevel="0" collapsed="false">
      <c r="A13" s="15" t="s">
        <v>62</v>
      </c>
      <c r="B13" s="63" t="n">
        <f aca="false">NPV(0.2,B4:B7)</f>
        <v>1089.69907407407</v>
      </c>
      <c r="C13" s="63" t="n">
        <f aca="false">NPV(0.2,C4:C7)</f>
        <v>1038.00154320988</v>
      </c>
    </row>
    <row r="14" customFormat="false" ht="12.75" hidden="false" customHeight="false" outlineLevel="0" collapsed="false">
      <c r="B14" s="0"/>
    </row>
    <row r="15" customFormat="false" ht="12.75" hidden="false" customHeight="false" outlineLevel="0" collapsed="false">
      <c r="B15" s="15" t="s">
        <v>63</v>
      </c>
    </row>
    <row r="16" customFormat="false" ht="12.75" hidden="false" customHeight="false" outlineLevel="0" collapsed="false">
      <c r="B16" s="0"/>
    </row>
    <row r="17" customFormat="false" ht="12.75" hidden="false" customHeight="false" outlineLevel="0" collapsed="false">
      <c r="B17" s="0"/>
    </row>
    <row r="18" customFormat="false" ht="12.75" hidden="false" customHeight="false" outlineLevel="0" collapsed="false">
      <c r="B18" s="15" t="s">
        <v>64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H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F6" activeCellId="0" sqref="F6"/>
    </sheetView>
  </sheetViews>
  <sheetFormatPr defaultRowHeight="15"/>
  <sheetData>
    <row r="2" customFormat="false" ht="15" hidden="false" customHeight="false" outlineLevel="0" collapsed="false">
      <c r="B2" s="29" t="s">
        <v>65</v>
      </c>
      <c r="C2" s="29" t="s">
        <v>66</v>
      </c>
      <c r="D2" s="29" t="s">
        <v>67</v>
      </c>
      <c r="E2" s="29" t="s">
        <v>68</v>
      </c>
    </row>
    <row r="3" customFormat="false" ht="15" hidden="false" customHeight="false" outlineLevel="0" collapsed="false">
      <c r="B3" s="29" t="n">
        <v>1</v>
      </c>
      <c r="C3" s="29" t="n">
        <v>-100</v>
      </c>
      <c r="D3" s="29" t="n">
        <v>140</v>
      </c>
      <c r="E3" s="64" t="n">
        <f aca="false">IRR(C3:D3)</f>
        <v>0.4</v>
      </c>
      <c r="G3" s="0" t="s">
        <v>63</v>
      </c>
      <c r="H3" s="0" t="s">
        <v>69</v>
      </c>
    </row>
    <row r="4" customFormat="false" ht="15" hidden="false" customHeight="false" outlineLevel="0" collapsed="false">
      <c r="B4" s="29" t="n">
        <v>2</v>
      </c>
      <c r="C4" s="29" t="n">
        <v>-1</v>
      </c>
      <c r="D4" s="29" t="n">
        <v>1.5</v>
      </c>
      <c r="E4" s="64" t="n">
        <f aca="false">IRR(C4:D4)</f>
        <v>0.5</v>
      </c>
    </row>
    <row r="5" customFormat="false" ht="15" hidden="false" customHeight="false" outlineLevel="0" collapsed="false">
      <c r="G5" s="0" t="s">
        <v>70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9" activeCellId="0" sqref="D9"/>
    </sheetView>
  </sheetViews>
  <sheetFormatPr defaultRowHeight="15"/>
  <cols>
    <col collapsed="false" hidden="false" max="4" min="4" style="0" width="11.5708502024291"/>
  </cols>
  <sheetData>
    <row r="1" customFormat="false" ht="15" hidden="false" customHeight="false" outlineLevel="0" collapsed="false">
      <c r="A1" s="29"/>
      <c r="B1" s="29"/>
      <c r="C1" s="29"/>
      <c r="D1" s="29"/>
      <c r="E1" s="29"/>
    </row>
    <row r="2" customFormat="false" ht="15" hidden="false" customHeight="false" outlineLevel="0" collapsed="false">
      <c r="A2" s="29"/>
      <c r="B2" s="29"/>
      <c r="C2" s="29"/>
      <c r="D2" s="29" t="s">
        <v>29</v>
      </c>
      <c r="E2" s="29" t="s">
        <v>30</v>
      </c>
    </row>
    <row r="3" customFormat="false" ht="15" hidden="false" customHeight="false" outlineLevel="0" collapsed="false">
      <c r="A3" s="29"/>
      <c r="B3" s="29"/>
      <c r="C3" s="33"/>
      <c r="D3" s="65" t="n">
        <v>36989</v>
      </c>
      <c r="E3" s="29" t="n">
        <v>-900</v>
      </c>
    </row>
    <row r="4" customFormat="false" ht="15" hidden="false" customHeight="false" outlineLevel="0" collapsed="false">
      <c r="A4" s="29"/>
      <c r="B4" s="29"/>
      <c r="C4" s="33"/>
      <c r="D4" s="65" t="n">
        <v>37118</v>
      </c>
      <c r="E4" s="29" t="n">
        <v>300</v>
      </c>
    </row>
    <row r="5" customFormat="false" ht="15" hidden="false" customHeight="false" outlineLevel="0" collapsed="false">
      <c r="A5" s="29"/>
      <c r="B5" s="29"/>
      <c r="C5" s="33"/>
      <c r="D5" s="65" t="n">
        <v>37271</v>
      </c>
      <c r="E5" s="29" t="n">
        <v>400</v>
      </c>
    </row>
    <row r="6" customFormat="false" ht="15" hidden="false" customHeight="false" outlineLevel="0" collapsed="false">
      <c r="A6" s="29"/>
      <c r="B6" s="29"/>
      <c r="C6" s="33"/>
      <c r="D6" s="65" t="n">
        <v>37432</v>
      </c>
      <c r="E6" s="29" t="n">
        <v>200</v>
      </c>
    </row>
    <row r="7" customFormat="false" ht="15" hidden="false" customHeight="false" outlineLevel="0" collapsed="false">
      <c r="A7" s="29"/>
      <c r="B7" s="29"/>
      <c r="C7" s="33"/>
      <c r="D7" s="65" t="n">
        <v>37805</v>
      </c>
      <c r="E7" s="29" t="n">
        <v>100</v>
      </c>
    </row>
    <row r="8" customFormat="false" ht="15" hidden="false" customHeight="false" outlineLevel="0" collapsed="false">
      <c r="A8" s="29"/>
      <c r="B8" s="66"/>
      <c r="C8" s="29"/>
      <c r="D8" s="29"/>
      <c r="E8" s="29"/>
    </row>
    <row r="9" customFormat="false" ht="15" hidden="false" customHeight="false" outlineLevel="0" collapsed="false">
      <c r="A9" s="29" t="s">
        <v>71</v>
      </c>
      <c r="B9" s="29"/>
      <c r="C9" s="29"/>
      <c r="D9" s="67" t="n">
        <f aca="false">XIRR(E3:E7,D3:D7)</f>
        <v>0.12969707728996</v>
      </c>
      <c r="E9" s="29" t="s">
        <v>72</v>
      </c>
    </row>
    <row r="10" customFormat="false" ht="15" hidden="false" customHeight="false" outlineLevel="0" collapsed="false">
      <c r="D10" s="0" t="s">
        <v>73</v>
      </c>
      <c r="E10" s="0" t="s">
        <v>47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11" activeCellId="0" sqref="D11"/>
    </sheetView>
  </sheetViews>
  <sheetFormatPr defaultRowHeight="15"/>
  <cols>
    <col collapsed="false" hidden="false" max="5" min="5" style="0" width="12.4251012145749"/>
  </cols>
  <sheetData>
    <row r="1" customFormat="false" ht="15" hidden="false" customHeight="false" outlineLevel="0" collapsed="false">
      <c r="A1" s="29"/>
      <c r="B1" s="29"/>
      <c r="C1" s="29"/>
      <c r="D1" s="29" t="s">
        <v>74</v>
      </c>
      <c r="E1" s="36" t="n">
        <v>0.1</v>
      </c>
      <c r="F1" s="29"/>
    </row>
    <row r="2" customFormat="false" ht="15" hidden="false" customHeight="false" outlineLevel="0" collapsed="false">
      <c r="A2" s="29"/>
      <c r="B2" s="29"/>
      <c r="C2" s="29"/>
      <c r="D2" s="29" t="s">
        <v>75</v>
      </c>
      <c r="E2" s="36" t="n">
        <v>0.12</v>
      </c>
      <c r="F2" s="29"/>
    </row>
    <row r="3" customFormat="false" ht="15" hidden="false" customHeight="false" outlineLevel="0" collapsed="false">
      <c r="A3" s="29"/>
      <c r="B3" s="29"/>
      <c r="C3" s="29"/>
      <c r="D3" s="68" t="s">
        <v>53</v>
      </c>
      <c r="E3" s="68" t="s">
        <v>76</v>
      </c>
      <c r="F3" s="29"/>
      <c r="G3" s="0" t="s">
        <v>77</v>
      </c>
    </row>
    <row r="4" customFormat="false" ht="15" hidden="false" customHeight="false" outlineLevel="0" collapsed="false">
      <c r="A4" s="29"/>
      <c r="B4" s="29"/>
      <c r="C4" s="29"/>
      <c r="D4" s="68" t="n">
        <v>0</v>
      </c>
      <c r="E4" s="69" t="n">
        <v>-120000</v>
      </c>
      <c r="F4" s="29"/>
      <c r="G4" s="0" t="s">
        <v>78</v>
      </c>
    </row>
    <row r="5" customFormat="false" ht="15" hidden="false" customHeight="false" outlineLevel="0" collapsed="false">
      <c r="A5" s="29"/>
      <c r="B5" s="29"/>
      <c r="C5" s="29"/>
      <c r="D5" s="68" t="n">
        <v>1</v>
      </c>
      <c r="E5" s="69" t="n">
        <v>39000</v>
      </c>
      <c r="F5" s="29"/>
    </row>
    <row r="6" customFormat="false" ht="15" hidden="false" customHeight="false" outlineLevel="0" collapsed="false">
      <c r="A6" s="29"/>
      <c r="B6" s="29"/>
      <c r="C6" s="29"/>
      <c r="D6" s="68" t="n">
        <v>2</v>
      </c>
      <c r="E6" s="69" t="n">
        <v>30000</v>
      </c>
      <c r="F6" s="29"/>
    </row>
    <row r="7" customFormat="false" ht="15" hidden="false" customHeight="false" outlineLevel="0" collapsed="false">
      <c r="A7" s="29"/>
      <c r="B7" s="29"/>
      <c r="C7" s="29"/>
      <c r="D7" s="68" t="n">
        <v>3</v>
      </c>
      <c r="E7" s="69" t="n">
        <v>21000</v>
      </c>
      <c r="F7" s="29"/>
    </row>
    <row r="8" customFormat="false" ht="15" hidden="false" customHeight="false" outlineLevel="0" collapsed="false">
      <c r="A8" s="29"/>
      <c r="B8" s="29"/>
      <c r="C8" s="29"/>
      <c r="D8" s="68" t="n">
        <v>4</v>
      </c>
      <c r="E8" s="69" t="n">
        <v>37000</v>
      </c>
      <c r="F8" s="29"/>
    </row>
    <row r="9" customFormat="false" ht="15" hidden="false" customHeight="false" outlineLevel="0" collapsed="false">
      <c r="A9" s="29"/>
      <c r="B9" s="29"/>
      <c r="C9" s="29"/>
      <c r="D9" s="68" t="n">
        <v>5</v>
      </c>
      <c r="E9" s="69" t="n">
        <v>46000</v>
      </c>
      <c r="F9" s="29"/>
    </row>
    <row r="10" customFormat="false" ht="15" hidden="false" customHeight="false" outlineLevel="0" collapsed="false">
      <c r="A10" s="29"/>
      <c r="B10" s="29"/>
      <c r="C10" s="29"/>
      <c r="D10" s="29" t="s">
        <v>79</v>
      </c>
      <c r="F10" s="29"/>
    </row>
    <row r="11" customFormat="false" ht="15" hidden="false" customHeight="false" outlineLevel="0" collapsed="false">
      <c r="A11" s="29"/>
      <c r="C11" s="29" t="s">
        <v>80</v>
      </c>
      <c r="D11" s="36" t="n">
        <f aca="false">IRR(E4:E9)</f>
        <v>0.130735539470838</v>
      </c>
      <c r="F11" s="29"/>
    </row>
    <row r="12" customFormat="false" ht="15" hidden="false" customHeight="false" outlineLevel="0" collapsed="false">
      <c r="A12" s="29"/>
      <c r="B12" s="29"/>
      <c r="C12" s="29" t="s">
        <v>81</v>
      </c>
      <c r="D12" s="36" t="n">
        <f aca="false">MIRR(E4:E9,E1,E2)</f>
        <v>0.126094130365905</v>
      </c>
      <c r="E12" s="29"/>
      <c r="F12" s="29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E21" activeCellId="0" sqref="E21"/>
    </sheetView>
  </sheetViews>
  <sheetFormatPr defaultRowHeight="15"/>
  <cols>
    <col collapsed="false" hidden="false" max="1" min="1" style="1" width="20.2226720647773"/>
    <col collapsed="false" hidden="false" max="2" min="2" style="1" width="33.9352226720648"/>
    <col collapsed="false" hidden="false" max="3" min="3" style="1" width="20.7368421052632"/>
    <col collapsed="false" hidden="false" max="4" min="4" style="1" width="19.4534412955466"/>
    <col collapsed="false" hidden="false" max="5" min="5" style="1" width="17.5668016194332"/>
    <col collapsed="false" hidden="false" max="1025" min="6" style="1" width="10.5425101214575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</row>
    <row r="2" customFormat="false" ht="15" hidden="false" customHeight="false" outlineLevel="0" collapsed="false">
      <c r="A2" s="70" t="s">
        <v>82</v>
      </c>
      <c r="B2" s="71" t="n">
        <v>1000000</v>
      </c>
      <c r="C2" s="0"/>
      <c r="D2" s="72"/>
      <c r="E2" s="73"/>
      <c r="F2" s="0"/>
    </row>
    <row r="3" customFormat="false" ht="15" hidden="false" customHeight="false" outlineLevel="0" collapsed="false">
      <c r="A3" s="70" t="s">
        <v>83</v>
      </c>
      <c r="B3" s="74" t="n">
        <v>0.1</v>
      </c>
      <c r="C3" s="0"/>
      <c r="D3" s="0"/>
      <c r="E3" s="0"/>
      <c r="F3" s="0"/>
    </row>
    <row r="4" customFormat="false" ht="15" hidden="false" customHeight="false" outlineLevel="0" collapsed="false">
      <c r="A4" s="70" t="s">
        <v>84</v>
      </c>
      <c r="B4" s="70" t="n">
        <v>10</v>
      </c>
      <c r="C4" s="0"/>
      <c r="D4" s="0"/>
      <c r="E4" s="0"/>
      <c r="F4" s="0"/>
    </row>
    <row r="5" customFormat="false" ht="15" hidden="false" customHeight="false" outlineLevel="0" collapsed="false">
      <c r="A5" s="70" t="s">
        <v>85</v>
      </c>
      <c r="B5" s="75" t="n">
        <f aca="false">PMT(B3,B4,B2,,0)</f>
        <v>-162745.394882512</v>
      </c>
      <c r="C5" s="51" t="s">
        <v>86</v>
      </c>
      <c r="D5" s="0"/>
      <c r="E5" s="0"/>
      <c r="F5" s="0"/>
    </row>
    <row r="6" customFormat="false" ht="15" hidden="false" customHeight="false" outlineLevel="0" collapsed="false">
      <c r="A6" s="0"/>
      <c r="B6" s="76" t="s">
        <v>87</v>
      </c>
      <c r="C6" s="0"/>
      <c r="D6" s="0"/>
      <c r="E6" s="0"/>
      <c r="F6" s="0"/>
    </row>
    <row r="7" customFormat="false" ht="15" hidden="false" customHeight="false" outlineLevel="0" collapsed="false">
      <c r="A7" s="1" t="s">
        <v>1</v>
      </c>
      <c r="B7" s="0"/>
      <c r="C7" s="1" t="s">
        <v>1</v>
      </c>
      <c r="D7" s="70" t="s">
        <v>88</v>
      </c>
      <c r="E7" s="70" t="s">
        <v>88</v>
      </c>
      <c r="F7" s="0"/>
    </row>
    <row r="8" customFormat="false" ht="15" hidden="false" customHeight="false" outlineLevel="0" collapsed="false">
      <c r="A8" s="1" t="s">
        <v>1</v>
      </c>
      <c r="B8" s="0"/>
      <c r="C8" s="1" t="s">
        <v>1</v>
      </c>
      <c r="D8" s="70" t="s">
        <v>89</v>
      </c>
      <c r="E8" s="70" t="s">
        <v>89</v>
      </c>
      <c r="F8" s="0"/>
    </row>
    <row r="9" customFormat="false" ht="15" hidden="false" customHeight="false" outlineLevel="0" collapsed="false">
      <c r="A9" s="1" t="s">
        <v>1</v>
      </c>
      <c r="B9" s="70" t="s">
        <v>90</v>
      </c>
      <c r="C9" s="1" t="s">
        <v>1</v>
      </c>
      <c r="D9" s="70" t="s">
        <v>91</v>
      </c>
      <c r="E9" s="70" t="s">
        <v>91</v>
      </c>
      <c r="F9" s="0"/>
    </row>
    <row r="10" customFormat="false" ht="15" hidden="false" customHeight="false" outlineLevel="0" collapsed="false">
      <c r="A10" s="70" t="s">
        <v>92</v>
      </c>
      <c r="B10" s="70" t="s">
        <v>93</v>
      </c>
      <c r="C10" s="70" t="s">
        <v>94</v>
      </c>
      <c r="D10" s="70" t="s">
        <v>95</v>
      </c>
      <c r="E10" s="70" t="s">
        <v>96</v>
      </c>
      <c r="F10" s="0"/>
    </row>
    <row r="11" customFormat="false" ht="15" hidden="false" customHeight="false" outlineLevel="0" collapsed="false">
      <c r="A11" s="70" t="s">
        <v>97</v>
      </c>
      <c r="B11" s="75" t="n">
        <f aca="false">B2</f>
        <v>1000000</v>
      </c>
      <c r="C11" s="75" t="n">
        <f aca="false">B$5</f>
        <v>-162745.394882512</v>
      </c>
      <c r="D11" s="77" t="n">
        <f aca="false">-B11*B$3</f>
        <v>-100000</v>
      </c>
      <c r="E11" s="75" t="n">
        <f aca="false">C11-D11</f>
        <v>-62745.3948825116</v>
      </c>
      <c r="F11" s="0"/>
    </row>
    <row r="12" customFormat="false" ht="15" hidden="false" customHeight="false" outlineLevel="0" collapsed="false">
      <c r="A12" s="70" t="s">
        <v>98</v>
      </c>
      <c r="B12" s="75" t="n">
        <f aca="false">B11+E11</f>
        <v>937254.605117488</v>
      </c>
      <c r="C12" s="75" t="n">
        <f aca="false">B$5</f>
        <v>-162745.394882512</v>
      </c>
      <c r="D12" s="77" t="n">
        <f aca="false">-B12*B$3</f>
        <v>-93725.4605117488</v>
      </c>
      <c r="E12" s="75" t="n">
        <f aca="false">C12-D12</f>
        <v>-69019.9343707628</v>
      </c>
      <c r="F12" s="0"/>
    </row>
    <row r="13" customFormat="false" ht="15" hidden="false" customHeight="false" outlineLevel="0" collapsed="false">
      <c r="A13" s="70" t="s">
        <v>99</v>
      </c>
      <c r="B13" s="75" t="n">
        <f aca="false">B12+E12</f>
        <v>868234.670746726</v>
      </c>
      <c r="C13" s="75" t="n">
        <f aca="false">B$5</f>
        <v>-162745.394882512</v>
      </c>
      <c r="D13" s="77" t="n">
        <f aca="false">-B13*B$3</f>
        <v>-86823.4670746726</v>
      </c>
      <c r="E13" s="75" t="n">
        <f aca="false">C13-D13</f>
        <v>-75921.927807839</v>
      </c>
      <c r="F13" s="0"/>
    </row>
    <row r="14" customFormat="false" ht="15" hidden="false" customHeight="false" outlineLevel="0" collapsed="false">
      <c r="A14" s="70" t="s">
        <v>100</v>
      </c>
      <c r="B14" s="75" t="n">
        <f aca="false">B13+E13</f>
        <v>792312.742938887</v>
      </c>
      <c r="C14" s="75" t="n">
        <f aca="false">B$5</f>
        <v>-162745.394882512</v>
      </c>
      <c r="D14" s="77" t="n">
        <f aca="false">-B14*B$3</f>
        <v>-79231.2742938887</v>
      </c>
      <c r="E14" s="75" t="n">
        <f aca="false">C14-D14</f>
        <v>-83514.1205886229</v>
      </c>
      <c r="F14" s="0"/>
    </row>
    <row r="15" customFormat="false" ht="15" hidden="false" customHeight="false" outlineLevel="0" collapsed="false">
      <c r="A15" s="70" t="s">
        <v>101</v>
      </c>
      <c r="B15" s="75" t="n">
        <f aca="false">B14+E14</f>
        <v>708798.622350264</v>
      </c>
      <c r="C15" s="75" t="n">
        <f aca="false">B$5</f>
        <v>-162745.394882512</v>
      </c>
      <c r="D15" s="77" t="n">
        <f aca="false">-B15*B$3</f>
        <v>-70879.8622350264</v>
      </c>
      <c r="E15" s="75" t="n">
        <f aca="false">C15-D15</f>
        <v>-91865.5326474853</v>
      </c>
      <c r="F15" s="0"/>
    </row>
    <row r="16" customFormat="false" ht="15" hidden="false" customHeight="false" outlineLevel="0" collapsed="false">
      <c r="A16" s="70" t="s">
        <v>102</v>
      </c>
      <c r="B16" s="75" t="n">
        <f aca="false">B15+E15</f>
        <v>616933.089702778</v>
      </c>
      <c r="C16" s="75" t="n">
        <f aca="false">B$5</f>
        <v>-162745.394882512</v>
      </c>
      <c r="D16" s="77" t="n">
        <f aca="false">-B16*B$3</f>
        <v>-61693.3089702778</v>
      </c>
      <c r="E16" s="75" t="n">
        <f aca="false">C16-D16</f>
        <v>-101052.085912234</v>
      </c>
      <c r="F16" s="0"/>
    </row>
    <row r="17" customFormat="false" ht="15" hidden="false" customHeight="false" outlineLevel="0" collapsed="false">
      <c r="A17" s="70" t="s">
        <v>103</v>
      </c>
      <c r="B17" s="75" t="n">
        <f aca="false">B16+E16</f>
        <v>515881.003790545</v>
      </c>
      <c r="C17" s="75" t="n">
        <f aca="false">B$5</f>
        <v>-162745.394882512</v>
      </c>
      <c r="D17" s="77" t="n">
        <f aca="false">-B17*B$3</f>
        <v>-51588.1003790545</v>
      </c>
      <c r="E17" s="75" t="n">
        <f aca="false">C17-D17</f>
        <v>-111157.294503457</v>
      </c>
      <c r="F17" s="0"/>
    </row>
    <row r="18" customFormat="false" ht="15" hidden="false" customHeight="false" outlineLevel="0" collapsed="false">
      <c r="A18" s="70" t="s">
        <v>104</v>
      </c>
      <c r="B18" s="75" t="n">
        <f aca="false">B17+E17</f>
        <v>404723.709287087</v>
      </c>
      <c r="C18" s="75" t="n">
        <f aca="false">B$5</f>
        <v>-162745.394882512</v>
      </c>
      <c r="D18" s="77" t="n">
        <f aca="false">-B18*B$3</f>
        <v>-40472.3709287087</v>
      </c>
      <c r="E18" s="75" t="n">
        <f aca="false">C18-D18</f>
        <v>-122273.023953803</v>
      </c>
      <c r="F18" s="0"/>
    </row>
    <row r="19" customFormat="false" ht="15" hidden="false" customHeight="false" outlineLevel="0" collapsed="false">
      <c r="A19" s="70" t="s">
        <v>105</v>
      </c>
      <c r="B19" s="75" t="n">
        <f aca="false">B18+E18</f>
        <v>282450.685333285</v>
      </c>
      <c r="C19" s="75" t="n">
        <f aca="false">B$5</f>
        <v>-162745.394882512</v>
      </c>
      <c r="D19" s="77" t="n">
        <f aca="false">-B19*B$3</f>
        <v>-28245.0685333285</v>
      </c>
      <c r="E19" s="75" t="n">
        <f aca="false">C19-D19</f>
        <v>-134500.326349183</v>
      </c>
      <c r="F19" s="0"/>
    </row>
    <row r="20" customFormat="false" ht="15" hidden="false" customHeight="false" outlineLevel="0" collapsed="false">
      <c r="A20" s="70" t="s">
        <v>106</v>
      </c>
      <c r="B20" s="75" t="n">
        <f aca="false">B19+E19</f>
        <v>147950.358984101</v>
      </c>
      <c r="C20" s="75" t="n">
        <f aca="false">B$5</f>
        <v>-162745.394882512</v>
      </c>
      <c r="D20" s="77" t="n">
        <f aca="false">-B20*B$3</f>
        <v>-14795.0358984101</v>
      </c>
      <c r="E20" s="75" t="n">
        <f aca="false">C20-D20</f>
        <v>-147950.358984101</v>
      </c>
      <c r="F20" s="0"/>
    </row>
    <row r="21" customFormat="false" ht="15" hidden="false" customHeight="false" outlineLevel="0" collapsed="false">
      <c r="B21" s="49" t="s">
        <v>107</v>
      </c>
      <c r="C21" s="75" t="n">
        <f aca="false">SUM(C11:C20)</f>
        <v>-1627453.94882512</v>
      </c>
      <c r="D21" s="23"/>
      <c r="E21" s="75" t="n">
        <f aca="false">SUM(E11:E20)</f>
        <v>-1000000</v>
      </c>
      <c r="F21" s="1" t="s">
        <v>108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31"/>
  <sheetViews>
    <sheetView windowProtection="false" showFormulas="false" showGridLines="true" showRowColHeaders="true" showZeros="true" rightToLeft="false" tabSelected="false" showOutlineSymbols="true" defaultGridColor="true" view="normal" topLeftCell="A121" colorId="64" zoomScale="120" zoomScaleNormal="120" zoomScalePageLayoutView="100" workbookViewId="0">
      <selection pane="topLeft" activeCell="C131" activeCellId="0" sqref="C131"/>
    </sheetView>
  </sheetViews>
  <sheetFormatPr defaultRowHeight="15"/>
  <cols>
    <col collapsed="false" hidden="false" max="1" min="1" style="1" width="20.2226720647773"/>
    <col collapsed="false" hidden="false" max="2" min="2" style="1" width="33.9352226720648"/>
    <col collapsed="false" hidden="false" max="3" min="3" style="1" width="26.3076923076923"/>
    <col collapsed="false" hidden="false" max="4" min="4" style="1" width="17.3117408906883"/>
    <col collapsed="false" hidden="false" max="5" min="5" style="1" width="19.1943319838057"/>
    <col collapsed="false" hidden="false" max="1025" min="6" style="1" width="10.5425101214575"/>
  </cols>
  <sheetData>
    <row r="1" customFormat="false" ht="15" hidden="false" customHeight="false" outlineLevel="0" collapsed="false">
      <c r="A1" s="0"/>
      <c r="B1" s="0"/>
      <c r="C1" s="0"/>
      <c r="D1" s="0"/>
      <c r="E1" s="0"/>
    </row>
    <row r="2" customFormat="false" ht="15" hidden="false" customHeight="false" outlineLevel="0" collapsed="false">
      <c r="A2" s="70" t="s">
        <v>82</v>
      </c>
      <c r="B2" s="70" t="n">
        <v>1000000</v>
      </c>
      <c r="C2" s="0"/>
      <c r="D2" s="73"/>
      <c r="E2" s="73"/>
    </row>
    <row r="3" customFormat="false" ht="15" hidden="false" customHeight="false" outlineLevel="0" collapsed="false">
      <c r="A3" s="70" t="s">
        <v>109</v>
      </c>
      <c r="B3" s="74" t="n">
        <v>0.1</v>
      </c>
      <c r="C3" s="0"/>
      <c r="D3" s="0"/>
      <c r="E3" s="1" t="s">
        <v>110</v>
      </c>
    </row>
    <row r="4" customFormat="false" ht="15" hidden="false" customHeight="false" outlineLevel="0" collapsed="false">
      <c r="A4" s="70" t="s">
        <v>84</v>
      </c>
      <c r="B4" s="70" t="n">
        <v>10</v>
      </c>
      <c r="C4" s="0"/>
      <c r="D4" s="0"/>
      <c r="E4" s="0"/>
    </row>
    <row r="5" customFormat="false" ht="15" hidden="false" customHeight="false" outlineLevel="0" collapsed="false">
      <c r="A5" s="78" t="s">
        <v>111</v>
      </c>
      <c r="B5" s="75" t="n">
        <f aca="false">PMT(B3/12,B4*12,B2)</f>
        <v>-13215.0736881762</v>
      </c>
      <c r="C5" s="51" t="s">
        <v>112</v>
      </c>
      <c r="D5" s="0"/>
      <c r="E5" s="0"/>
    </row>
    <row r="6" customFormat="false" ht="15" hidden="false" customHeight="false" outlineLevel="0" collapsed="false">
      <c r="A6" s="0"/>
      <c r="B6" s="70"/>
      <c r="C6" s="0"/>
      <c r="D6" s="0"/>
      <c r="E6" s="0"/>
    </row>
    <row r="7" customFormat="false" ht="15" hidden="false" customHeight="false" outlineLevel="0" collapsed="false">
      <c r="A7" s="1" t="s">
        <v>1</v>
      </c>
      <c r="B7" s="0"/>
      <c r="C7" s="1" t="s">
        <v>1</v>
      </c>
      <c r="D7" s="70" t="s">
        <v>88</v>
      </c>
      <c r="E7" s="70" t="s">
        <v>88</v>
      </c>
    </row>
    <row r="8" customFormat="false" ht="15" hidden="false" customHeight="false" outlineLevel="0" collapsed="false">
      <c r="A8" s="1" t="s">
        <v>1</v>
      </c>
      <c r="B8" s="0"/>
      <c r="C8" s="1" t="s">
        <v>1</v>
      </c>
      <c r="D8" s="70" t="s">
        <v>89</v>
      </c>
      <c r="E8" s="70" t="s">
        <v>89</v>
      </c>
    </row>
    <row r="9" customFormat="false" ht="15" hidden="false" customHeight="false" outlineLevel="0" collapsed="false">
      <c r="A9" s="1" t="s">
        <v>1</v>
      </c>
      <c r="B9" s="70" t="s">
        <v>90</v>
      </c>
      <c r="C9" s="1" t="s">
        <v>1</v>
      </c>
      <c r="D9" s="70" t="s">
        <v>91</v>
      </c>
      <c r="E9" s="70" t="s">
        <v>91</v>
      </c>
    </row>
    <row r="10" customFormat="false" ht="15" hidden="false" customHeight="false" outlineLevel="0" collapsed="false">
      <c r="A10" s="70" t="s">
        <v>113</v>
      </c>
      <c r="B10" s="70" t="s">
        <v>114</v>
      </c>
      <c r="C10" s="70" t="s">
        <v>115</v>
      </c>
      <c r="D10" s="70" t="s">
        <v>95</v>
      </c>
      <c r="E10" s="70" t="s">
        <v>96</v>
      </c>
    </row>
    <row r="11" customFormat="false" ht="15" hidden="false" customHeight="false" outlineLevel="0" collapsed="false">
      <c r="A11" s="79" t="n">
        <v>1</v>
      </c>
      <c r="B11" s="75" t="n">
        <f aca="false">B2</f>
        <v>1000000</v>
      </c>
      <c r="C11" s="75" t="n">
        <f aca="false">B$5</f>
        <v>-13215.0736881762</v>
      </c>
      <c r="D11" s="77" t="n">
        <f aca="false">-B11*B$3/12</f>
        <v>-8333.33333333333</v>
      </c>
      <c r="E11" s="75" t="n">
        <f aca="false">C11-D11</f>
        <v>-4881.74035484283</v>
      </c>
    </row>
    <row r="12" customFormat="false" ht="15" hidden="false" customHeight="false" outlineLevel="0" collapsed="false">
      <c r="A12" s="79" t="n">
        <v>2</v>
      </c>
      <c r="B12" s="75" t="n">
        <f aca="false">B11+E11</f>
        <v>995118.259645157</v>
      </c>
      <c r="C12" s="75" t="n">
        <f aca="false">B$5</f>
        <v>-13215.0736881762</v>
      </c>
      <c r="D12" s="77" t="n">
        <f aca="false">-B12*B$3/12</f>
        <v>-8292.65216370964</v>
      </c>
      <c r="E12" s="75" t="n">
        <f aca="false">C12-D12</f>
        <v>-4922.42152446652</v>
      </c>
    </row>
    <row r="13" customFormat="false" ht="15" hidden="false" customHeight="false" outlineLevel="0" collapsed="false">
      <c r="A13" s="79" t="n">
        <v>3</v>
      </c>
      <c r="B13" s="75" t="n">
        <f aca="false">B12+E12</f>
        <v>990195.838120691</v>
      </c>
      <c r="C13" s="75" t="n">
        <f aca="false">B$5</f>
        <v>-13215.0736881762</v>
      </c>
      <c r="D13" s="77" t="n">
        <f aca="false">-B13*B$3/12</f>
        <v>-8251.63198433909</v>
      </c>
      <c r="E13" s="75" t="n">
        <f aca="false">C13-D13</f>
        <v>-4963.44170383708</v>
      </c>
    </row>
    <row r="14" customFormat="false" ht="15" hidden="false" customHeight="false" outlineLevel="0" collapsed="false">
      <c r="A14" s="79" t="n">
        <v>4</v>
      </c>
      <c r="B14" s="75" t="n">
        <f aca="false">B13+E13</f>
        <v>985232.396416854</v>
      </c>
      <c r="C14" s="75" t="n">
        <f aca="false">B$5</f>
        <v>-13215.0736881762</v>
      </c>
      <c r="D14" s="77" t="n">
        <f aca="false">-B14*B$3/12</f>
        <v>-8210.26997014045</v>
      </c>
      <c r="E14" s="75" t="n">
        <f aca="false">C14-D14</f>
        <v>-5004.80371803572</v>
      </c>
    </row>
    <row r="15" customFormat="false" ht="15" hidden="false" customHeight="false" outlineLevel="0" collapsed="false">
      <c r="A15" s="79" t="n">
        <v>5</v>
      </c>
      <c r="B15" s="75" t="n">
        <f aca="false">B14+E14</f>
        <v>980227.592698818</v>
      </c>
      <c r="C15" s="75" t="n">
        <f aca="false">B$5</f>
        <v>-13215.0736881762</v>
      </c>
      <c r="D15" s="77" t="n">
        <f aca="false">-B15*B$3/12</f>
        <v>-8168.56327249015</v>
      </c>
      <c r="E15" s="75" t="n">
        <f aca="false">C15-D15</f>
        <v>-5046.51041568602</v>
      </c>
    </row>
    <row r="16" customFormat="false" ht="15" hidden="false" customHeight="false" outlineLevel="0" collapsed="false">
      <c r="A16" s="79" t="n">
        <v>6</v>
      </c>
      <c r="B16" s="75" t="n">
        <f aca="false">B15+E15</f>
        <v>975181.082283132</v>
      </c>
      <c r="C16" s="75" t="n">
        <f aca="false">B$5</f>
        <v>-13215.0736881762</v>
      </c>
      <c r="D16" s="77" t="n">
        <f aca="false">-B16*B$3/12</f>
        <v>-8126.5090190261</v>
      </c>
      <c r="E16" s="75" t="n">
        <f aca="false">C16-D16</f>
        <v>-5088.56466915007</v>
      </c>
    </row>
    <row r="17" customFormat="false" ht="15" hidden="false" customHeight="false" outlineLevel="0" collapsed="false">
      <c r="A17" s="79" t="n">
        <v>7</v>
      </c>
      <c r="B17" s="75" t="n">
        <f aca="false">B16+E16</f>
        <v>970092.517613982</v>
      </c>
      <c r="C17" s="75" t="n">
        <f aca="false">B$5</f>
        <v>-13215.0736881762</v>
      </c>
      <c r="D17" s="77" t="n">
        <f aca="false">-B17*B$3/12</f>
        <v>-8084.10431344985</v>
      </c>
      <c r="E17" s="75" t="n">
        <f aca="false">C17-D17</f>
        <v>-5130.96937472632</v>
      </c>
    </row>
    <row r="18" customFormat="false" ht="15" hidden="false" customHeight="false" outlineLevel="0" collapsed="false">
      <c r="A18" s="79" t="n">
        <v>8</v>
      </c>
      <c r="B18" s="75" t="n">
        <f aca="false">B17+E17</f>
        <v>964961.548239256</v>
      </c>
      <c r="C18" s="75" t="n">
        <f aca="false">B$5</f>
        <v>-13215.0736881762</v>
      </c>
      <c r="D18" s="77" t="n">
        <f aca="false">-B18*B$3/12</f>
        <v>-8041.34623532713</v>
      </c>
      <c r="E18" s="75" t="n">
        <f aca="false">C18-D18</f>
        <v>-5173.72745284904</v>
      </c>
    </row>
    <row r="19" customFormat="false" ht="15" hidden="false" customHeight="false" outlineLevel="0" collapsed="false">
      <c r="A19" s="79" t="n">
        <v>9</v>
      </c>
      <c r="B19" s="75" t="n">
        <f aca="false">B18+E18</f>
        <v>959787.820786406</v>
      </c>
      <c r="C19" s="75" t="n">
        <f aca="false">B$5</f>
        <v>-13215.0736881762</v>
      </c>
      <c r="D19" s="77" t="n">
        <f aca="false">-B19*B$3/12</f>
        <v>-7998.23183988672</v>
      </c>
      <c r="E19" s="75" t="n">
        <f aca="false">C19-D19</f>
        <v>-5216.84184828944</v>
      </c>
    </row>
    <row r="20" customFormat="false" ht="15" hidden="false" customHeight="false" outlineLevel="0" collapsed="false">
      <c r="A20" s="79" t="n">
        <v>10</v>
      </c>
      <c r="B20" s="75" t="n">
        <f aca="false">B19+E19</f>
        <v>954570.978938117</v>
      </c>
      <c r="C20" s="75" t="n">
        <f aca="false">B$5</f>
        <v>-13215.0736881762</v>
      </c>
      <c r="D20" s="77" t="n">
        <f aca="false">-B20*B$3/12</f>
        <v>-7954.75815781764</v>
      </c>
      <c r="E20" s="75" t="n">
        <f aca="false">C20-D20</f>
        <v>-5260.31553035852</v>
      </c>
    </row>
    <row r="21" customFormat="false" ht="15" hidden="false" customHeight="false" outlineLevel="0" collapsed="false">
      <c r="A21" s="79" t="n">
        <v>11</v>
      </c>
      <c r="B21" s="75" t="n">
        <f aca="false">B20+E20</f>
        <v>949310.663407758</v>
      </c>
      <c r="C21" s="75" t="n">
        <f aca="false">B$5</f>
        <v>-13215.0736881762</v>
      </c>
      <c r="D21" s="77" t="n">
        <f aca="false">-B21*B$3/12</f>
        <v>-7910.92219506465</v>
      </c>
      <c r="E21" s="75" t="n">
        <f aca="false">C21-D21</f>
        <v>-5304.15149311151</v>
      </c>
    </row>
    <row r="22" customFormat="false" ht="15" hidden="false" customHeight="false" outlineLevel="0" collapsed="false">
      <c r="A22" s="79" t="n">
        <v>12</v>
      </c>
      <c r="B22" s="75" t="n">
        <f aca="false">B21+E21</f>
        <v>944006.511914647</v>
      </c>
      <c r="C22" s="75" t="n">
        <f aca="false">B$5</f>
        <v>-13215.0736881762</v>
      </c>
      <c r="D22" s="77" t="n">
        <f aca="false">-B22*B$3/12</f>
        <v>-7866.72093262206</v>
      </c>
      <c r="E22" s="75" t="n">
        <f aca="false">C22-D22</f>
        <v>-5348.35275555411</v>
      </c>
    </row>
    <row r="23" customFormat="false" ht="15" hidden="false" customHeight="false" outlineLevel="0" collapsed="false">
      <c r="A23" s="79" t="n">
        <v>13</v>
      </c>
      <c r="B23" s="75" t="n">
        <f aca="false">B22+E22</f>
        <v>938658.159159093</v>
      </c>
      <c r="C23" s="75" t="n">
        <f aca="false">B$5</f>
        <v>-13215.0736881762</v>
      </c>
      <c r="D23" s="77" t="n">
        <f aca="false">-B23*B$3/12</f>
        <v>-7822.15132632577</v>
      </c>
      <c r="E23" s="75" t="n">
        <f aca="false">C23-D23</f>
        <v>-5392.92236185039</v>
      </c>
    </row>
    <row r="24" customFormat="false" ht="15" hidden="false" customHeight="false" outlineLevel="0" collapsed="false">
      <c r="A24" s="79" t="n">
        <v>14</v>
      </c>
      <c r="B24" s="75" t="n">
        <f aca="false">B23+E23</f>
        <v>933265.236797242</v>
      </c>
      <c r="C24" s="75" t="n">
        <f aca="false">B$5</f>
        <v>-13215.0736881762</v>
      </c>
      <c r="D24" s="77" t="n">
        <f aca="false">-B24*B$3/12</f>
        <v>-7777.21030664369</v>
      </c>
      <c r="E24" s="75" t="n">
        <f aca="false">C24-D24</f>
        <v>-5437.86338153248</v>
      </c>
    </row>
    <row r="25" customFormat="false" ht="15" hidden="false" customHeight="false" outlineLevel="0" collapsed="false">
      <c r="A25" s="79" t="n">
        <v>15</v>
      </c>
      <c r="B25" s="75" t="n">
        <f aca="false">B24+E24</f>
        <v>927827.37341571</v>
      </c>
      <c r="C25" s="75" t="n">
        <f aca="false">B$5</f>
        <v>-13215.0736881762</v>
      </c>
      <c r="D25" s="77" t="n">
        <f aca="false">-B25*B$3/12</f>
        <v>-7731.89477846425</v>
      </c>
      <c r="E25" s="75" t="n">
        <f aca="false">C25-D25</f>
        <v>-5483.17890971192</v>
      </c>
    </row>
    <row r="26" customFormat="false" ht="15" hidden="false" customHeight="false" outlineLevel="0" collapsed="false">
      <c r="A26" s="79" t="n">
        <v>16</v>
      </c>
      <c r="B26" s="75" t="n">
        <f aca="false">B25+E25</f>
        <v>922344.194505998</v>
      </c>
      <c r="C26" s="75" t="n">
        <f aca="false">B$5</f>
        <v>-13215.0736881762</v>
      </c>
      <c r="D26" s="77" t="n">
        <f aca="false">-B26*B$3/12</f>
        <v>-7686.20162088332</v>
      </c>
      <c r="E26" s="75" t="n">
        <f aca="false">C26-D26</f>
        <v>-5528.87206729285</v>
      </c>
    </row>
    <row r="27" customFormat="false" ht="15" hidden="false" customHeight="false" outlineLevel="0" collapsed="false">
      <c r="A27" s="79" t="n">
        <v>17</v>
      </c>
      <c r="B27" s="75" t="n">
        <f aca="false">B26+E26</f>
        <v>916815.322438705</v>
      </c>
      <c r="C27" s="75" t="n">
        <f aca="false">B$5</f>
        <v>-13215.0736881762</v>
      </c>
      <c r="D27" s="77" t="n">
        <f aca="false">-B27*B$3/12</f>
        <v>-7640.12768698921</v>
      </c>
      <c r="E27" s="75" t="n">
        <f aca="false">C27-D27</f>
        <v>-5574.94600118696</v>
      </c>
    </row>
    <row r="28" customFormat="false" ht="15" hidden="false" customHeight="false" outlineLevel="0" collapsed="false">
      <c r="A28" s="79" t="n">
        <v>18</v>
      </c>
      <c r="B28" s="75" t="n">
        <f aca="false">B27+E27</f>
        <v>911240.376437518</v>
      </c>
      <c r="C28" s="75" t="n">
        <f aca="false">B$5</f>
        <v>-13215.0736881762</v>
      </c>
      <c r="D28" s="77" t="n">
        <f aca="false">-B28*B$3/12</f>
        <v>-7593.66980364599</v>
      </c>
      <c r="E28" s="75" t="n">
        <f aca="false">C28-D28</f>
        <v>-5621.40388453018</v>
      </c>
    </row>
    <row r="29" customFormat="false" ht="15" hidden="false" customHeight="false" outlineLevel="0" collapsed="false">
      <c r="A29" s="79" t="n">
        <v>19</v>
      </c>
      <c r="B29" s="75" t="n">
        <f aca="false">B28+E28</f>
        <v>905618.972552988</v>
      </c>
      <c r="C29" s="75" t="n">
        <f aca="false">B$5</f>
        <v>-13215.0736881762</v>
      </c>
      <c r="D29" s="77" t="n">
        <f aca="false">-B29*B$3/12</f>
        <v>-7546.8247712749</v>
      </c>
      <c r="E29" s="75" t="n">
        <f aca="false">C29-D29</f>
        <v>-5668.24891690127</v>
      </c>
    </row>
    <row r="30" customFormat="false" ht="15" hidden="false" customHeight="false" outlineLevel="0" collapsed="false">
      <c r="A30" s="79" t="n">
        <v>20</v>
      </c>
      <c r="B30" s="75" t="n">
        <f aca="false">B29+E29</f>
        <v>899950.723636087</v>
      </c>
      <c r="C30" s="75" t="n">
        <f aca="false">B$5</f>
        <v>-13215.0736881762</v>
      </c>
      <c r="D30" s="77" t="n">
        <f aca="false">-B30*B$3/12</f>
        <v>-7499.58936363406</v>
      </c>
      <c r="E30" s="75" t="n">
        <f aca="false">C30-D30</f>
        <v>-5715.48432454211</v>
      </c>
    </row>
    <row r="31" customFormat="false" ht="15" hidden="false" customHeight="false" outlineLevel="0" collapsed="false">
      <c r="A31" s="79" t="n">
        <v>21</v>
      </c>
      <c r="B31" s="75" t="n">
        <f aca="false">B30+E30</f>
        <v>894235.239311545</v>
      </c>
      <c r="C31" s="75" t="n">
        <f aca="false">B$5</f>
        <v>-13215.0736881762</v>
      </c>
      <c r="D31" s="77" t="n">
        <f aca="false">-B31*B$3/12</f>
        <v>-7451.9603275962</v>
      </c>
      <c r="E31" s="75" t="n">
        <f aca="false">C31-D31</f>
        <v>-5763.11336057996</v>
      </c>
    </row>
    <row r="32" customFormat="false" ht="15" hidden="false" customHeight="false" outlineLevel="0" collapsed="false">
      <c r="A32" s="79" t="n">
        <v>22</v>
      </c>
      <c r="B32" s="75" t="n">
        <f aca="false">B31+E31</f>
        <v>888472.125950965</v>
      </c>
      <c r="C32" s="75" t="n">
        <f aca="false">B$5</f>
        <v>-13215.0736881762</v>
      </c>
      <c r="D32" s="77" t="n">
        <f aca="false">-B32*B$3/12</f>
        <v>-7403.93438292471</v>
      </c>
      <c r="E32" s="75" t="n">
        <f aca="false">C32-D32</f>
        <v>-5811.13930525146</v>
      </c>
    </row>
    <row r="33" customFormat="false" ht="15" hidden="false" customHeight="false" outlineLevel="0" collapsed="false">
      <c r="A33" s="79" t="n">
        <v>23</v>
      </c>
      <c r="B33" s="75" t="n">
        <f aca="false">B32+E32</f>
        <v>882660.986645713</v>
      </c>
      <c r="C33" s="75" t="n">
        <f aca="false">B$5</f>
        <v>-13215.0736881762</v>
      </c>
      <c r="D33" s="77" t="n">
        <f aca="false">-B33*B$3/12</f>
        <v>-7355.50822204761</v>
      </c>
      <c r="E33" s="75" t="n">
        <f aca="false">C33-D33</f>
        <v>-5859.56546612856</v>
      </c>
    </row>
    <row r="34" customFormat="false" ht="15" hidden="false" customHeight="false" outlineLevel="0" collapsed="false">
      <c r="A34" s="79" t="n">
        <v>24</v>
      </c>
      <c r="B34" s="75" t="n">
        <f aca="false">B33+E33</f>
        <v>876801.421179585</v>
      </c>
      <c r="C34" s="75" t="n">
        <f aca="false">B$5</f>
        <v>-13215.0736881762</v>
      </c>
      <c r="D34" s="77" t="n">
        <f aca="false">-B34*B$3/12</f>
        <v>-7306.67850982987</v>
      </c>
      <c r="E34" s="75" t="n">
        <f aca="false">C34-D34</f>
        <v>-5908.39517834629</v>
      </c>
    </row>
    <row r="35" customFormat="false" ht="15" hidden="false" customHeight="false" outlineLevel="0" collapsed="false">
      <c r="A35" s="79" t="n">
        <v>25</v>
      </c>
      <c r="B35" s="75" t="n">
        <f aca="false">B34+E34</f>
        <v>870893.026001238</v>
      </c>
      <c r="C35" s="75" t="n">
        <f aca="false">B$5</f>
        <v>-13215.0736881762</v>
      </c>
      <c r="D35" s="77" t="n">
        <f aca="false">-B35*B$3/12</f>
        <v>-7257.44188334365</v>
      </c>
      <c r="E35" s="75" t="n">
        <f aca="false">C35-D35</f>
        <v>-5957.63180483251</v>
      </c>
    </row>
    <row r="36" customFormat="false" ht="15" hidden="false" customHeight="false" outlineLevel="0" collapsed="false">
      <c r="A36" s="79" t="n">
        <v>26</v>
      </c>
      <c r="B36" s="75" t="n">
        <f aca="false">B35+E35</f>
        <v>864935.394196406</v>
      </c>
      <c r="C36" s="75" t="n">
        <f aca="false">B$5</f>
        <v>-13215.0736881762</v>
      </c>
      <c r="D36" s="77" t="n">
        <f aca="false">-B36*B$3/12</f>
        <v>-7207.79495163672</v>
      </c>
      <c r="E36" s="75" t="n">
        <f aca="false">C36-D36</f>
        <v>-6007.27873653945</v>
      </c>
    </row>
    <row r="37" customFormat="false" ht="15" hidden="false" customHeight="false" outlineLevel="0" collapsed="false">
      <c r="A37" s="79" t="n">
        <v>27</v>
      </c>
      <c r="B37" s="75" t="n">
        <f aca="false">B36+E36</f>
        <v>858928.115459866</v>
      </c>
      <c r="C37" s="75" t="n">
        <f aca="false">B$5</f>
        <v>-13215.0736881762</v>
      </c>
      <c r="D37" s="77" t="n">
        <f aca="false">-B37*B$3/12</f>
        <v>-7157.73429549889</v>
      </c>
      <c r="E37" s="75" t="n">
        <f aca="false">C37-D37</f>
        <v>-6057.33939267728</v>
      </c>
    </row>
    <row r="38" customFormat="false" ht="15" hidden="false" customHeight="false" outlineLevel="0" collapsed="false">
      <c r="A38" s="79" t="n">
        <v>28</v>
      </c>
      <c r="B38" s="75" t="n">
        <f aca="false">B37+E37</f>
        <v>852870.776067189</v>
      </c>
      <c r="C38" s="75" t="n">
        <f aca="false">B$5</f>
        <v>-13215.0736881762</v>
      </c>
      <c r="D38" s="77" t="n">
        <f aca="false">-B38*B$3/12</f>
        <v>-7107.25646722658</v>
      </c>
      <c r="E38" s="75" t="n">
        <f aca="false">C38-D38</f>
        <v>-6107.81722094959</v>
      </c>
    </row>
    <row r="39" customFormat="false" ht="15" hidden="false" customHeight="false" outlineLevel="0" collapsed="false">
      <c r="A39" s="79" t="n">
        <v>29</v>
      </c>
      <c r="B39" s="75" t="n">
        <f aca="false">B38+E38</f>
        <v>846762.95884624</v>
      </c>
      <c r="C39" s="75" t="n">
        <f aca="false">B$5</f>
        <v>-13215.0736881762</v>
      </c>
      <c r="D39" s="77" t="n">
        <f aca="false">-B39*B$3/12</f>
        <v>-7056.35799038533</v>
      </c>
      <c r="E39" s="75" t="n">
        <f aca="false">C39-D39</f>
        <v>-6158.71569779084</v>
      </c>
    </row>
    <row r="40" customFormat="false" ht="15" hidden="false" customHeight="false" outlineLevel="0" collapsed="false">
      <c r="A40" s="79" t="n">
        <v>30</v>
      </c>
      <c r="B40" s="75" t="n">
        <f aca="false">B39+E39</f>
        <v>840604.243148449</v>
      </c>
      <c r="C40" s="75" t="n">
        <f aca="false">B$5</f>
        <v>-13215.0736881762</v>
      </c>
      <c r="D40" s="77" t="n">
        <f aca="false">-B40*B$3/12</f>
        <v>-7005.03535957041</v>
      </c>
      <c r="E40" s="75" t="n">
        <f aca="false">C40-D40</f>
        <v>-6210.03832860576</v>
      </c>
    </row>
    <row r="41" customFormat="false" ht="15" hidden="false" customHeight="false" outlineLevel="0" collapsed="false">
      <c r="A41" s="79" t="n">
        <v>31</v>
      </c>
      <c r="B41" s="75" t="n">
        <f aca="false">B40+E40</f>
        <v>834394.204819843</v>
      </c>
      <c r="C41" s="75" t="n">
        <f aca="false">B$5</f>
        <v>-13215.0736881762</v>
      </c>
      <c r="D41" s="77" t="n">
        <f aca="false">-B41*B$3/12</f>
        <v>-6953.28504016536</v>
      </c>
      <c r="E41" s="75" t="n">
        <f aca="false">C41-D41</f>
        <v>-6261.78864801081</v>
      </c>
    </row>
    <row r="42" customFormat="false" ht="15" hidden="false" customHeight="false" outlineLevel="0" collapsed="false">
      <c r="A42" s="79" t="n">
        <v>32</v>
      </c>
      <c r="B42" s="75" t="n">
        <f aca="false">B41+E41</f>
        <v>828132.416171832</v>
      </c>
      <c r="C42" s="75" t="n">
        <f aca="false">B$5</f>
        <v>-13215.0736881762</v>
      </c>
      <c r="D42" s="77" t="n">
        <f aca="false">-B42*B$3/12</f>
        <v>-6901.1034680986</v>
      </c>
      <c r="E42" s="75" t="n">
        <f aca="false">C42-D42</f>
        <v>-6313.97022007756</v>
      </c>
    </row>
    <row r="43" customFormat="false" ht="15" hidden="false" customHeight="false" outlineLevel="0" collapsed="false">
      <c r="A43" s="79" t="n">
        <v>33</v>
      </c>
      <c r="B43" s="75" t="n">
        <f aca="false">B42+E42</f>
        <v>821818.445951755</v>
      </c>
      <c r="C43" s="75" t="n">
        <f aca="false">B$5</f>
        <v>-13215.0736881762</v>
      </c>
      <c r="D43" s="77" t="n">
        <f aca="false">-B43*B$3/12</f>
        <v>-6848.48704959796</v>
      </c>
      <c r="E43" s="75" t="n">
        <f aca="false">C43-D43</f>
        <v>-6366.58663857821</v>
      </c>
    </row>
    <row r="44" customFormat="false" ht="15" hidden="false" customHeight="false" outlineLevel="0" collapsed="false">
      <c r="A44" s="79" t="n">
        <v>34</v>
      </c>
      <c r="B44" s="75" t="n">
        <f aca="false">B43+E43</f>
        <v>815451.859313177</v>
      </c>
      <c r="C44" s="75" t="n">
        <f aca="false">B$5</f>
        <v>-13215.0736881762</v>
      </c>
      <c r="D44" s="77" t="n">
        <f aca="false">-B44*B$3/12</f>
        <v>-6795.43216094314</v>
      </c>
      <c r="E44" s="75" t="n">
        <f aca="false">C44-D44</f>
        <v>-6419.64152723303</v>
      </c>
    </row>
    <row r="45" customFormat="false" ht="15" hidden="false" customHeight="false" outlineLevel="0" collapsed="false">
      <c r="A45" s="79" t="n">
        <v>35</v>
      </c>
      <c r="B45" s="75" t="n">
        <f aca="false">B44+E44</f>
        <v>809032.217785943</v>
      </c>
      <c r="C45" s="75" t="n">
        <f aca="false">B$5</f>
        <v>-13215.0736881762</v>
      </c>
      <c r="D45" s="77" t="n">
        <f aca="false">-B45*B$3/12</f>
        <v>-6741.9351482162</v>
      </c>
      <c r="E45" s="75" t="n">
        <f aca="false">C45-D45</f>
        <v>-6473.13853995997</v>
      </c>
    </row>
    <row r="46" customFormat="false" ht="15" hidden="false" customHeight="false" outlineLevel="0" collapsed="false">
      <c r="A46" s="79" t="n">
        <v>36</v>
      </c>
      <c r="B46" s="75" t="n">
        <f aca="false">B45+E45</f>
        <v>802559.079245983</v>
      </c>
      <c r="C46" s="75" t="n">
        <f aca="false">B$5</f>
        <v>-13215.0736881762</v>
      </c>
      <c r="D46" s="77" t="n">
        <f aca="false">-B46*B$3/12</f>
        <v>-6687.99232704986</v>
      </c>
      <c r="E46" s="75" t="n">
        <f aca="false">C46-D46</f>
        <v>-6527.0813611263</v>
      </c>
    </row>
    <row r="47" customFormat="false" ht="15" hidden="false" customHeight="false" outlineLevel="0" collapsed="false">
      <c r="A47" s="79" t="n">
        <v>37</v>
      </c>
      <c r="B47" s="75" t="n">
        <f aca="false">B46+E46</f>
        <v>796031.997884857</v>
      </c>
      <c r="C47" s="75" t="n">
        <f aca="false">B$5</f>
        <v>-13215.0736881762</v>
      </c>
      <c r="D47" s="77" t="n">
        <f aca="false">-B47*B$3/12</f>
        <v>-6633.59998237381</v>
      </c>
      <c r="E47" s="75" t="n">
        <f aca="false">C47-D47</f>
        <v>-6581.47370580236</v>
      </c>
    </row>
    <row r="48" customFormat="false" ht="15" hidden="false" customHeight="false" outlineLevel="0" collapsed="false">
      <c r="A48" s="79" t="n">
        <v>38</v>
      </c>
      <c r="B48" s="75" t="n">
        <f aca="false">B47+E47</f>
        <v>789450.524179055</v>
      </c>
      <c r="C48" s="75" t="n">
        <f aca="false">B$5</f>
        <v>-13215.0736881762</v>
      </c>
      <c r="D48" s="77" t="n">
        <f aca="false">-B48*B$3/12</f>
        <v>-6578.75436815879</v>
      </c>
      <c r="E48" s="75" t="n">
        <f aca="false">C48-D48</f>
        <v>-6636.31932001738</v>
      </c>
    </row>
    <row r="49" customFormat="false" ht="15" hidden="false" customHeight="false" outlineLevel="0" collapsed="false">
      <c r="A49" s="79" t="n">
        <v>39</v>
      </c>
      <c r="B49" s="75" t="n">
        <f aca="false">B48+E48</f>
        <v>782814.204859037</v>
      </c>
      <c r="C49" s="75" t="n">
        <f aca="false">B$5</f>
        <v>-13215.0736881762</v>
      </c>
      <c r="D49" s="77" t="n">
        <f aca="false">-B49*B$3/12</f>
        <v>-6523.45170715865</v>
      </c>
      <c r="E49" s="75" t="n">
        <f aca="false">C49-D49</f>
        <v>-6691.62198101752</v>
      </c>
    </row>
    <row r="50" customFormat="false" ht="15" hidden="false" customHeight="false" outlineLevel="0" collapsed="false">
      <c r="A50" s="79" t="n">
        <v>40</v>
      </c>
      <c r="B50" s="75" t="n">
        <f aca="false">B49+E49</f>
        <v>776122.58287802</v>
      </c>
      <c r="C50" s="75" t="n">
        <f aca="false">B$5</f>
        <v>-13215.0736881762</v>
      </c>
      <c r="D50" s="77" t="n">
        <f aca="false">-B50*B$3/12</f>
        <v>-6467.68819065017</v>
      </c>
      <c r="E50" s="75" t="n">
        <f aca="false">C50-D50</f>
        <v>-6747.385497526</v>
      </c>
    </row>
    <row r="51" customFormat="false" ht="15" hidden="false" customHeight="false" outlineLevel="0" collapsed="false">
      <c r="A51" s="79" t="n">
        <v>41</v>
      </c>
      <c r="B51" s="75" t="n">
        <f aca="false">B50+E50</f>
        <v>769375.197380494</v>
      </c>
      <c r="C51" s="75" t="n">
        <f aca="false">B$5</f>
        <v>-13215.0736881762</v>
      </c>
      <c r="D51" s="77" t="n">
        <f aca="false">-B51*B$3/12</f>
        <v>-6411.45997817078</v>
      </c>
      <c r="E51" s="75" t="n">
        <f aca="false">C51-D51</f>
        <v>-6803.61371000538</v>
      </c>
    </row>
    <row r="52" customFormat="false" ht="15" hidden="false" customHeight="false" outlineLevel="0" collapsed="false">
      <c r="A52" s="79" t="n">
        <v>42</v>
      </c>
      <c r="B52" s="75" t="n">
        <f aca="false">B51+E51</f>
        <v>762571.583670488</v>
      </c>
      <c r="C52" s="75" t="n">
        <f aca="false">B$5</f>
        <v>-13215.0736881762</v>
      </c>
      <c r="D52" s="77" t="n">
        <f aca="false">-B52*B$3/12</f>
        <v>-6354.76319725407</v>
      </c>
      <c r="E52" s="75" t="n">
        <f aca="false">C52-D52</f>
        <v>-6860.3104909221</v>
      </c>
    </row>
    <row r="53" customFormat="false" ht="15" hidden="false" customHeight="false" outlineLevel="0" collapsed="false">
      <c r="A53" s="79" t="n">
        <v>43</v>
      </c>
      <c r="B53" s="75" t="n">
        <f aca="false">B52+E52</f>
        <v>755711.273179566</v>
      </c>
      <c r="C53" s="75" t="n">
        <f aca="false">B$5</f>
        <v>-13215.0736881762</v>
      </c>
      <c r="D53" s="77" t="n">
        <f aca="false">-B53*B$3/12</f>
        <v>-6297.59394316305</v>
      </c>
      <c r="E53" s="75" t="n">
        <f aca="false">C53-D53</f>
        <v>-6917.47974501311</v>
      </c>
    </row>
    <row r="54" customFormat="false" ht="15" hidden="false" customHeight="false" outlineLevel="0" collapsed="false">
      <c r="A54" s="79" t="n">
        <v>44</v>
      </c>
      <c r="B54" s="75" t="n">
        <f aca="false">B53+E53</f>
        <v>748793.793434553</v>
      </c>
      <c r="C54" s="75" t="n">
        <f aca="false">B$5</f>
        <v>-13215.0736881762</v>
      </c>
      <c r="D54" s="77" t="n">
        <f aca="false">-B54*B$3/12</f>
        <v>-6239.94827862128</v>
      </c>
      <c r="E54" s="75" t="n">
        <f aca="false">C54-D54</f>
        <v>-6975.12540955489</v>
      </c>
    </row>
    <row r="55" customFormat="false" ht="15" hidden="false" customHeight="false" outlineLevel="0" collapsed="false">
      <c r="A55" s="79" t="n">
        <v>45</v>
      </c>
      <c r="B55" s="75" t="n">
        <f aca="false">B54+E54</f>
        <v>741818.668024998</v>
      </c>
      <c r="C55" s="75" t="n">
        <f aca="false">B$5</f>
        <v>-13215.0736881762</v>
      </c>
      <c r="D55" s="77" t="n">
        <f aca="false">-B55*B$3/12</f>
        <v>-6181.82223354165</v>
      </c>
      <c r="E55" s="75" t="n">
        <f aca="false">C55-D55</f>
        <v>-7033.25145463451</v>
      </c>
    </row>
    <row r="56" customFormat="false" ht="15" hidden="false" customHeight="false" outlineLevel="0" collapsed="false">
      <c r="A56" s="79" t="n">
        <v>46</v>
      </c>
      <c r="B56" s="75" t="n">
        <f aca="false">B55+E55</f>
        <v>734785.416570364</v>
      </c>
      <c r="C56" s="75" t="n">
        <f aca="false">B$5</f>
        <v>-13215.0736881762</v>
      </c>
      <c r="D56" s="77" t="n">
        <f aca="false">-B56*B$3/12</f>
        <v>-6123.21180475303</v>
      </c>
      <c r="E56" s="75" t="n">
        <f aca="false">C56-D56</f>
        <v>-7091.86188342313</v>
      </c>
    </row>
    <row r="57" customFormat="false" ht="15" hidden="false" customHeight="false" outlineLevel="0" collapsed="false">
      <c r="A57" s="79" t="n">
        <v>47</v>
      </c>
      <c r="B57" s="75" t="n">
        <f aca="false">B56+E56</f>
        <v>727693.554686941</v>
      </c>
      <c r="C57" s="75" t="n">
        <f aca="false">B$5</f>
        <v>-13215.0736881762</v>
      </c>
      <c r="D57" s="77" t="n">
        <f aca="false">-B57*B$3/12</f>
        <v>-6064.11295572451</v>
      </c>
      <c r="E57" s="75" t="n">
        <f aca="false">C57-D57</f>
        <v>-7150.96073245166</v>
      </c>
    </row>
    <row r="58" customFormat="false" ht="15" hidden="false" customHeight="false" outlineLevel="0" collapsed="false">
      <c r="A58" s="79" t="n">
        <v>48</v>
      </c>
      <c r="B58" s="75" t="n">
        <f aca="false">B57+E57</f>
        <v>720542.593954489</v>
      </c>
      <c r="C58" s="75" t="n">
        <f aca="false">B$5</f>
        <v>-13215.0736881762</v>
      </c>
      <c r="D58" s="77" t="n">
        <f aca="false">-B58*B$3/12</f>
        <v>-6004.52161628741</v>
      </c>
      <c r="E58" s="75" t="n">
        <f aca="false">C58-D58</f>
        <v>-7210.55207188876</v>
      </c>
    </row>
    <row r="59" customFormat="false" ht="15" hidden="false" customHeight="false" outlineLevel="0" collapsed="false">
      <c r="A59" s="79" t="n">
        <v>49</v>
      </c>
      <c r="B59" s="75" t="n">
        <f aca="false">B58+E58</f>
        <v>713332.0418826</v>
      </c>
      <c r="C59" s="75" t="n">
        <f aca="false">B$5</f>
        <v>-13215.0736881762</v>
      </c>
      <c r="D59" s="77" t="n">
        <f aca="false">-B59*B$3/12</f>
        <v>-5944.433682355</v>
      </c>
      <c r="E59" s="75" t="n">
        <f aca="false">C59-D59</f>
        <v>-7270.64000582116</v>
      </c>
    </row>
    <row r="60" customFormat="false" ht="15" hidden="false" customHeight="false" outlineLevel="0" collapsed="false">
      <c r="A60" s="79" t="n">
        <v>50</v>
      </c>
      <c r="B60" s="75" t="n">
        <f aca="false">B59+E59</f>
        <v>706061.401876779</v>
      </c>
      <c r="C60" s="75" t="n">
        <f aca="false">B$5</f>
        <v>-13215.0736881762</v>
      </c>
      <c r="D60" s="77" t="n">
        <f aca="false">-B60*B$3/12</f>
        <v>-5883.84501563983</v>
      </c>
      <c r="E60" s="75" t="n">
        <f aca="false">C60-D60</f>
        <v>-7331.22867253634</v>
      </c>
    </row>
    <row r="61" customFormat="false" ht="15" hidden="false" customHeight="false" outlineLevel="0" collapsed="false">
      <c r="A61" s="79" t="n">
        <v>51</v>
      </c>
      <c r="B61" s="75" t="n">
        <f aca="false">B60+E60</f>
        <v>698730.173204243</v>
      </c>
      <c r="C61" s="75" t="n">
        <f aca="false">B$5</f>
        <v>-13215.0736881762</v>
      </c>
      <c r="D61" s="77" t="n">
        <f aca="false">-B61*B$3/12</f>
        <v>-5822.75144336869</v>
      </c>
      <c r="E61" s="75" t="n">
        <f aca="false">C61-D61</f>
        <v>-7392.32224480747</v>
      </c>
    </row>
    <row r="62" customFormat="false" ht="15" hidden="false" customHeight="false" outlineLevel="0" collapsed="false">
      <c r="A62" s="79" t="n">
        <v>52</v>
      </c>
      <c r="B62" s="75" t="n">
        <f aca="false">B61+E61</f>
        <v>691337.850959436</v>
      </c>
      <c r="C62" s="75" t="n">
        <f aca="false">B$5</f>
        <v>-13215.0736881762</v>
      </c>
      <c r="D62" s="77" t="n">
        <f aca="false">-B62*B$3/12</f>
        <v>-5761.1487579953</v>
      </c>
      <c r="E62" s="75" t="n">
        <f aca="false">C62-D62</f>
        <v>-7453.92493018087</v>
      </c>
    </row>
    <row r="63" customFormat="false" ht="15" hidden="false" customHeight="false" outlineLevel="0" collapsed="false">
      <c r="A63" s="79" t="n">
        <v>53</v>
      </c>
      <c r="B63" s="75" t="n">
        <f aca="false">B62+E62</f>
        <v>683883.926029255</v>
      </c>
      <c r="C63" s="75" t="n">
        <f aca="false">B$5</f>
        <v>-13215.0736881762</v>
      </c>
      <c r="D63" s="77" t="n">
        <f aca="false">-B63*B$3/12</f>
        <v>-5699.03271691046</v>
      </c>
      <c r="E63" s="75" t="n">
        <f aca="false">C63-D63</f>
        <v>-7516.04097126571</v>
      </c>
    </row>
    <row r="64" customFormat="false" ht="15" hidden="false" customHeight="false" outlineLevel="0" collapsed="false">
      <c r="A64" s="79" t="n">
        <v>54</v>
      </c>
      <c r="B64" s="75" t="n">
        <f aca="false">B63+E63</f>
        <v>676367.885057989</v>
      </c>
      <c r="C64" s="75" t="n">
        <f aca="false">B$5</f>
        <v>-13215.0736881762</v>
      </c>
      <c r="D64" s="77" t="n">
        <f aca="false">-B64*B$3/12</f>
        <v>-5636.39904214991</v>
      </c>
      <c r="E64" s="75" t="n">
        <f aca="false">C64-D64</f>
        <v>-7578.67464602626</v>
      </c>
    </row>
    <row r="65" customFormat="false" ht="15" hidden="false" customHeight="false" outlineLevel="0" collapsed="false">
      <c r="A65" s="79" t="n">
        <v>55</v>
      </c>
      <c r="B65" s="75" t="n">
        <f aca="false">B64+E64</f>
        <v>668789.210411963</v>
      </c>
      <c r="C65" s="75" t="n">
        <f aca="false">B$5</f>
        <v>-13215.0736881762</v>
      </c>
      <c r="D65" s="77" t="n">
        <f aca="false">-B65*B$3/12</f>
        <v>-5573.24342009969</v>
      </c>
      <c r="E65" s="75" t="n">
        <f aca="false">C65-D65</f>
        <v>-7641.83026807648</v>
      </c>
    </row>
    <row r="66" customFormat="false" ht="15" hidden="false" customHeight="false" outlineLevel="0" collapsed="false">
      <c r="A66" s="79" t="n">
        <v>56</v>
      </c>
      <c r="B66" s="75" t="n">
        <f aca="false">B65+E65</f>
        <v>661147.380143886</v>
      </c>
      <c r="C66" s="75" t="n">
        <f aca="false">B$5</f>
        <v>-13215.0736881762</v>
      </c>
      <c r="D66" s="77" t="n">
        <f aca="false">-B66*B$3/12</f>
        <v>-5509.56150119905</v>
      </c>
      <c r="E66" s="75" t="n">
        <f aca="false">C66-D66</f>
        <v>-7705.51218697711</v>
      </c>
    </row>
    <row r="67" customFormat="false" ht="15" hidden="false" customHeight="false" outlineLevel="0" collapsed="false">
      <c r="A67" s="79" t="n">
        <v>57</v>
      </c>
      <c r="B67" s="75" t="n">
        <f aca="false">B66+E66</f>
        <v>653441.867956909</v>
      </c>
      <c r="C67" s="75" t="n">
        <f aca="false">B$5</f>
        <v>-13215.0736881762</v>
      </c>
      <c r="D67" s="77" t="n">
        <f aca="false">-B67*B$3/12</f>
        <v>-5445.34889964091</v>
      </c>
      <c r="E67" s="75" t="n">
        <f aca="false">C67-D67</f>
        <v>-7769.72478853526</v>
      </c>
    </row>
    <row r="68" customFormat="false" ht="15" hidden="false" customHeight="false" outlineLevel="0" collapsed="false">
      <c r="A68" s="79" t="n">
        <v>58</v>
      </c>
      <c r="B68" s="75" t="n">
        <f aca="false">B67+E67</f>
        <v>645672.143168374</v>
      </c>
      <c r="C68" s="75" t="n">
        <f aca="false">B$5</f>
        <v>-13215.0736881762</v>
      </c>
      <c r="D68" s="77" t="n">
        <f aca="false">-B68*B$3/12</f>
        <v>-5380.60119306978</v>
      </c>
      <c r="E68" s="75" t="n">
        <f aca="false">C68-D68</f>
        <v>-7834.47249510638</v>
      </c>
    </row>
    <row r="69" customFormat="false" ht="15" hidden="false" customHeight="false" outlineLevel="0" collapsed="false">
      <c r="A69" s="79" t="n">
        <v>59</v>
      </c>
      <c r="B69" s="75" t="n">
        <f aca="false">B68+E68</f>
        <v>637837.670673267</v>
      </c>
      <c r="C69" s="75" t="n">
        <f aca="false">B$5</f>
        <v>-13215.0736881762</v>
      </c>
      <c r="D69" s="77" t="n">
        <f aca="false">-B69*B$3/12</f>
        <v>-5315.31392227723</v>
      </c>
      <c r="E69" s="75" t="n">
        <f aca="false">C69-D69</f>
        <v>-7899.75976589894</v>
      </c>
    </row>
    <row r="70" customFormat="false" ht="15" hidden="false" customHeight="false" outlineLevel="0" collapsed="false">
      <c r="A70" s="79" t="n">
        <v>60</v>
      </c>
      <c r="B70" s="75" t="n">
        <f aca="false">B69+E69</f>
        <v>629937.910907368</v>
      </c>
      <c r="C70" s="75" t="n">
        <f aca="false">B$5</f>
        <v>-13215.0736881762</v>
      </c>
      <c r="D70" s="77" t="n">
        <f aca="false">-B70*B$3/12</f>
        <v>-5249.48259089474</v>
      </c>
      <c r="E70" s="75" t="n">
        <f aca="false">C70-D70</f>
        <v>-7965.59109728143</v>
      </c>
    </row>
    <row r="71" customFormat="false" ht="15" hidden="false" customHeight="false" outlineLevel="0" collapsed="false">
      <c r="A71" s="79" t="n">
        <v>61</v>
      </c>
      <c r="B71" s="75" t="n">
        <f aca="false">B70+E70</f>
        <v>621972.319810087</v>
      </c>
      <c r="C71" s="75" t="n">
        <f aca="false">B$5</f>
        <v>-13215.0736881762</v>
      </c>
      <c r="D71" s="77" t="n">
        <f aca="false">-B71*B$3/12</f>
        <v>-5183.10266508406</v>
      </c>
      <c r="E71" s="75" t="n">
        <f aca="false">C71-D71</f>
        <v>-8031.97102309211</v>
      </c>
    </row>
    <row r="72" customFormat="false" ht="15" hidden="false" customHeight="false" outlineLevel="0" collapsed="false">
      <c r="A72" s="79" t="n">
        <v>62</v>
      </c>
      <c r="B72" s="75" t="n">
        <f aca="false">B71+E71</f>
        <v>613940.348786995</v>
      </c>
      <c r="C72" s="75" t="n">
        <f aca="false">B$5</f>
        <v>-13215.0736881762</v>
      </c>
      <c r="D72" s="77" t="n">
        <f aca="false">-B72*B$3/12</f>
        <v>-5116.16957322496</v>
      </c>
      <c r="E72" s="75" t="n">
        <f aca="false">C72-D72</f>
        <v>-8098.90411495121</v>
      </c>
    </row>
    <row r="73" customFormat="false" ht="15" hidden="false" customHeight="false" outlineLevel="0" collapsed="false">
      <c r="A73" s="79" t="n">
        <v>63</v>
      </c>
      <c r="B73" s="75" t="n">
        <f aca="false">B72+E72</f>
        <v>605841.444672044</v>
      </c>
      <c r="C73" s="75" t="n">
        <f aca="false">B$5</f>
        <v>-13215.0736881762</v>
      </c>
      <c r="D73" s="77" t="n">
        <f aca="false">-B73*B$3/12</f>
        <v>-5048.67870560036</v>
      </c>
      <c r="E73" s="75" t="n">
        <f aca="false">C73-D73</f>
        <v>-8166.3949825758</v>
      </c>
    </row>
    <row r="74" customFormat="false" ht="15" hidden="false" customHeight="false" outlineLevel="0" collapsed="false">
      <c r="A74" s="79" t="n">
        <v>64</v>
      </c>
      <c r="B74" s="75" t="n">
        <f aca="false">B73+E73</f>
        <v>597675.049689468</v>
      </c>
      <c r="C74" s="75" t="n">
        <f aca="false">B$5</f>
        <v>-13215.0736881762</v>
      </c>
      <c r="D74" s="77" t="n">
        <f aca="false">-B74*B$3/12</f>
        <v>-4980.6254140789</v>
      </c>
      <c r="E74" s="75" t="n">
        <f aca="false">C74-D74</f>
        <v>-8234.44827409727</v>
      </c>
    </row>
    <row r="75" customFormat="false" ht="15" hidden="false" customHeight="false" outlineLevel="0" collapsed="false">
      <c r="A75" s="79" t="n">
        <v>65</v>
      </c>
      <c r="B75" s="75" t="n">
        <f aca="false">B74+E74</f>
        <v>589440.601415371</v>
      </c>
      <c r="C75" s="75" t="n">
        <f aca="false">B$5</f>
        <v>-13215.0736881762</v>
      </c>
      <c r="D75" s="77" t="n">
        <f aca="false">-B75*B$3/12</f>
        <v>-4912.00501179475</v>
      </c>
      <c r="E75" s="75" t="n">
        <f aca="false">C75-D75</f>
        <v>-8303.06867638141</v>
      </c>
    </row>
    <row r="76" customFormat="false" ht="15" hidden="false" customHeight="false" outlineLevel="0" collapsed="false">
      <c r="A76" s="79" t="n">
        <v>66</v>
      </c>
      <c r="B76" s="75" t="n">
        <f aca="false">B75+E75</f>
        <v>581137.532738989</v>
      </c>
      <c r="C76" s="75" t="n">
        <f aca="false">B$5</f>
        <v>-13215.0736881762</v>
      </c>
      <c r="D76" s="77" t="n">
        <f aca="false">-B76*B$3/12</f>
        <v>-4842.81277282491</v>
      </c>
      <c r="E76" s="75" t="n">
        <f aca="false">C76-D76</f>
        <v>-8372.26091535126</v>
      </c>
    </row>
    <row r="77" customFormat="false" ht="15" hidden="false" customHeight="false" outlineLevel="0" collapsed="false">
      <c r="A77" s="79" t="n">
        <v>67</v>
      </c>
      <c r="B77" s="75" t="n">
        <f aca="false">B76+E76</f>
        <v>572765.271823638</v>
      </c>
      <c r="C77" s="75" t="n">
        <f aca="false">B$5</f>
        <v>-13215.0736881762</v>
      </c>
      <c r="D77" s="77" t="n">
        <f aca="false">-B77*B$3/12</f>
        <v>-4773.04393186365</v>
      </c>
      <c r="E77" s="75" t="n">
        <f aca="false">C77-D77</f>
        <v>-8442.02975631252</v>
      </c>
    </row>
    <row r="78" customFormat="false" ht="15" hidden="false" customHeight="false" outlineLevel="0" collapsed="false">
      <c r="A78" s="79" t="n">
        <v>68</v>
      </c>
      <c r="B78" s="75" t="n">
        <f aca="false">B77+E77</f>
        <v>564323.242067325</v>
      </c>
      <c r="C78" s="75" t="n">
        <f aca="false">B$5</f>
        <v>-13215.0736881762</v>
      </c>
      <c r="D78" s="77" t="n">
        <f aca="false">-B78*B$3/12</f>
        <v>-4702.69368389438</v>
      </c>
      <c r="E78" s="75" t="n">
        <f aca="false">C78-D78</f>
        <v>-8512.38000428179</v>
      </c>
    </row>
    <row r="79" customFormat="false" ht="15" hidden="false" customHeight="false" outlineLevel="0" collapsed="false">
      <c r="A79" s="79" t="n">
        <v>69</v>
      </c>
      <c r="B79" s="75" t="n">
        <f aca="false">B78+E78</f>
        <v>555810.862063044</v>
      </c>
      <c r="C79" s="75" t="n">
        <f aca="false">B$5</f>
        <v>-13215.0736881762</v>
      </c>
      <c r="D79" s="77" t="n">
        <f aca="false">-B79*B$3/12</f>
        <v>-4631.7571838587</v>
      </c>
      <c r="E79" s="75" t="n">
        <f aca="false">C79-D79</f>
        <v>-8583.31650431747</v>
      </c>
    </row>
    <row r="80" customFormat="false" ht="15" hidden="false" customHeight="false" outlineLevel="0" collapsed="false">
      <c r="A80" s="79" t="n">
        <v>70</v>
      </c>
      <c r="B80" s="75" t="n">
        <f aca="false">B79+E79</f>
        <v>547227.545558726</v>
      </c>
      <c r="C80" s="75" t="n">
        <f aca="false">B$5</f>
        <v>-13215.0736881762</v>
      </c>
      <c r="D80" s="77" t="n">
        <f aca="false">-B80*B$3/12</f>
        <v>-4560.22954632272</v>
      </c>
      <c r="E80" s="75" t="n">
        <f aca="false">C80-D80</f>
        <v>-8654.84414185345</v>
      </c>
    </row>
    <row r="81" customFormat="false" ht="15" hidden="false" customHeight="false" outlineLevel="0" collapsed="false">
      <c r="A81" s="79" t="n">
        <v>71</v>
      </c>
      <c r="B81" s="75" t="n">
        <f aca="false">B80+E80</f>
        <v>538572.701416873</v>
      </c>
      <c r="C81" s="75" t="n">
        <f aca="false">B$5</f>
        <v>-13215.0736881762</v>
      </c>
      <c r="D81" s="77" t="n">
        <f aca="false">-B81*B$3/12</f>
        <v>-4488.10584514061</v>
      </c>
      <c r="E81" s="75" t="n">
        <f aca="false">C81-D81</f>
        <v>-8726.96784303556</v>
      </c>
    </row>
    <row r="82" customFormat="false" ht="15" hidden="false" customHeight="false" outlineLevel="0" collapsed="false">
      <c r="A82" s="79" t="n">
        <v>72</v>
      </c>
      <c r="B82" s="75" t="n">
        <f aca="false">B81+E81</f>
        <v>529845.733573837</v>
      </c>
      <c r="C82" s="75" t="n">
        <f aca="false">B$5</f>
        <v>-13215.0736881762</v>
      </c>
      <c r="D82" s="77" t="n">
        <f aca="false">-B82*B$3/12</f>
        <v>-4415.38111311531</v>
      </c>
      <c r="E82" s="75" t="n">
        <f aca="false">C82-D82</f>
        <v>-8799.69257506086</v>
      </c>
    </row>
    <row r="83" customFormat="false" ht="15" hidden="false" customHeight="false" outlineLevel="0" collapsed="false">
      <c r="A83" s="79" t="n">
        <v>73</v>
      </c>
      <c r="B83" s="75" t="n">
        <f aca="false">B82+E82</f>
        <v>521046.040998776</v>
      </c>
      <c r="C83" s="75" t="n">
        <f aca="false">B$5</f>
        <v>-13215.0736881762</v>
      </c>
      <c r="D83" s="77" t="n">
        <f aca="false">-B83*B$3/12</f>
        <v>-4342.05034165647</v>
      </c>
      <c r="E83" s="75" t="n">
        <f aca="false">C83-D83</f>
        <v>-8873.0233465197</v>
      </c>
    </row>
    <row r="84" customFormat="false" ht="15" hidden="false" customHeight="false" outlineLevel="0" collapsed="false">
      <c r="A84" s="79" t="n">
        <v>74</v>
      </c>
      <c r="B84" s="75" t="n">
        <f aca="false">B83+E83</f>
        <v>512173.017652257</v>
      </c>
      <c r="C84" s="75" t="n">
        <f aca="false">B$5</f>
        <v>-13215.0736881762</v>
      </c>
      <c r="D84" s="77" t="n">
        <f aca="false">-B84*B$3/12</f>
        <v>-4268.10848043547</v>
      </c>
      <c r="E84" s="75" t="n">
        <f aca="false">C84-D84</f>
        <v>-8946.96520774069</v>
      </c>
    </row>
    <row r="85" customFormat="false" ht="15" hidden="false" customHeight="false" outlineLevel="0" collapsed="false">
      <c r="A85" s="79" t="n">
        <v>75</v>
      </c>
      <c r="B85" s="75" t="n">
        <f aca="false">B84+E84</f>
        <v>503226.052444516</v>
      </c>
      <c r="C85" s="75" t="n">
        <f aca="false">B$5</f>
        <v>-13215.0736881762</v>
      </c>
      <c r="D85" s="77" t="n">
        <f aca="false">-B85*B$3/12</f>
        <v>-4193.55043703763</v>
      </c>
      <c r="E85" s="75" t="n">
        <f aca="false">C85-D85</f>
        <v>-9021.52325113853</v>
      </c>
    </row>
    <row r="86" customFormat="false" ht="15" hidden="false" customHeight="false" outlineLevel="0" collapsed="false">
      <c r="A86" s="79" t="n">
        <v>76</v>
      </c>
      <c r="B86" s="75" t="n">
        <f aca="false">B85+E85</f>
        <v>494204.529193377</v>
      </c>
      <c r="C86" s="75" t="n">
        <f aca="false">B$5</f>
        <v>-13215.0736881762</v>
      </c>
      <c r="D86" s="77" t="n">
        <f aca="false">-B86*B$3/12</f>
        <v>-4118.37107661148</v>
      </c>
      <c r="E86" s="75" t="n">
        <f aca="false">C86-D86</f>
        <v>-9096.70261156469</v>
      </c>
    </row>
    <row r="87" customFormat="false" ht="15" hidden="false" customHeight="false" outlineLevel="0" collapsed="false">
      <c r="A87" s="79" t="n">
        <v>77</v>
      </c>
      <c r="B87" s="75" t="n">
        <f aca="false">B86+E86</f>
        <v>485107.826581813</v>
      </c>
      <c r="C87" s="75" t="n">
        <f aca="false">B$5</f>
        <v>-13215.0736881762</v>
      </c>
      <c r="D87" s="77" t="n">
        <f aca="false">-B87*B$3/12</f>
        <v>-4042.56522151511</v>
      </c>
      <c r="E87" s="75" t="n">
        <f aca="false">C87-D87</f>
        <v>-9172.50846666106</v>
      </c>
    </row>
    <row r="88" customFormat="false" ht="15" hidden="false" customHeight="false" outlineLevel="0" collapsed="false">
      <c r="A88" s="79" t="n">
        <v>78</v>
      </c>
      <c r="B88" s="75" t="n">
        <f aca="false">B87+E87</f>
        <v>475935.318115152</v>
      </c>
      <c r="C88" s="75" t="n">
        <f aca="false">B$5</f>
        <v>-13215.0736881762</v>
      </c>
      <c r="D88" s="77" t="n">
        <f aca="false">-B88*B$3/12</f>
        <v>-3966.1276509596</v>
      </c>
      <c r="E88" s="75" t="n">
        <f aca="false">C88-D88</f>
        <v>-9248.94603721657</v>
      </c>
    </row>
    <row r="89" customFormat="false" ht="15" hidden="false" customHeight="false" outlineLevel="0" collapsed="false">
      <c r="A89" s="79" t="n">
        <v>79</v>
      </c>
      <c r="B89" s="75" t="n">
        <f aca="false">B88+E88</f>
        <v>466686.372077935</v>
      </c>
      <c r="C89" s="75" t="n">
        <f aca="false">B$5</f>
        <v>-13215.0736881762</v>
      </c>
      <c r="D89" s="77" t="n">
        <f aca="false">-B89*B$3/12</f>
        <v>-3889.05310064946</v>
      </c>
      <c r="E89" s="75" t="n">
        <f aca="false">C89-D89</f>
        <v>-9326.02058752671</v>
      </c>
    </row>
    <row r="90" customFormat="false" ht="15" hidden="false" customHeight="false" outlineLevel="0" collapsed="false">
      <c r="A90" s="79" t="n">
        <v>80</v>
      </c>
      <c r="B90" s="75" t="n">
        <f aca="false">B89+E89</f>
        <v>457360.351490409</v>
      </c>
      <c r="C90" s="75" t="n">
        <f aca="false">B$5</f>
        <v>-13215.0736881762</v>
      </c>
      <c r="D90" s="77" t="n">
        <f aca="false">-B90*B$3/12</f>
        <v>-3811.33626242007</v>
      </c>
      <c r="E90" s="75" t="n">
        <f aca="false">C90-D90</f>
        <v>-9403.7374257561</v>
      </c>
    </row>
    <row r="91" customFormat="false" ht="15" hidden="false" customHeight="false" outlineLevel="0" collapsed="false">
      <c r="A91" s="79" t="n">
        <v>81</v>
      </c>
      <c r="B91" s="75" t="n">
        <f aca="false">B90+E90</f>
        <v>447956.614064652</v>
      </c>
      <c r="C91" s="75" t="n">
        <f aca="false">B$5</f>
        <v>-13215.0736881762</v>
      </c>
      <c r="D91" s="77" t="n">
        <f aca="false">-B91*B$3/12</f>
        <v>-3732.9717838721</v>
      </c>
      <c r="E91" s="75" t="n">
        <f aca="false">C91-D91</f>
        <v>-9482.10190430406</v>
      </c>
    </row>
    <row r="92" customFormat="false" ht="15" hidden="false" customHeight="false" outlineLevel="0" collapsed="false">
      <c r="A92" s="79" t="n">
        <v>82</v>
      </c>
      <c r="B92" s="75" t="n">
        <f aca="false">B91+E91</f>
        <v>438474.512160348</v>
      </c>
      <c r="C92" s="75" t="n">
        <f aca="false">B$5</f>
        <v>-13215.0736881762</v>
      </c>
      <c r="D92" s="77" t="n">
        <f aca="false">-B92*B$3/12</f>
        <v>-3653.9542680029</v>
      </c>
      <c r="E92" s="75" t="n">
        <f aca="false">C92-D92</f>
        <v>-9561.11942017326</v>
      </c>
    </row>
    <row r="93" customFormat="false" ht="15" hidden="false" customHeight="false" outlineLevel="0" collapsed="false">
      <c r="A93" s="79" t="n">
        <v>83</v>
      </c>
      <c r="B93" s="75" t="n">
        <f aca="false">B92+E92</f>
        <v>428913.392740175</v>
      </c>
      <c r="C93" s="75" t="n">
        <f aca="false">B$5</f>
        <v>-13215.0736881762</v>
      </c>
      <c r="D93" s="77" t="n">
        <f aca="false">-B93*B$3/12</f>
        <v>-3574.27827283479</v>
      </c>
      <c r="E93" s="75" t="n">
        <f aca="false">C93-D93</f>
        <v>-9640.79541534137</v>
      </c>
    </row>
    <row r="94" customFormat="false" ht="15" hidden="false" customHeight="false" outlineLevel="0" collapsed="false">
      <c r="A94" s="79" t="n">
        <v>84</v>
      </c>
      <c r="B94" s="75" t="n">
        <f aca="false">B93+E93</f>
        <v>419272.597324834</v>
      </c>
      <c r="C94" s="75" t="n">
        <f aca="false">B$5</f>
        <v>-13215.0736881762</v>
      </c>
      <c r="D94" s="77" t="n">
        <f aca="false">-B94*B$3/12</f>
        <v>-3493.93831104028</v>
      </c>
      <c r="E94" s="75" t="n">
        <f aca="false">C94-D94</f>
        <v>-9721.13537713589</v>
      </c>
    </row>
    <row r="95" customFormat="false" ht="15" hidden="false" customHeight="false" outlineLevel="0" collapsed="false">
      <c r="A95" s="79" t="n">
        <v>85</v>
      </c>
      <c r="B95" s="75" t="n">
        <f aca="false">B94+E94</f>
        <v>409551.461947698</v>
      </c>
      <c r="C95" s="75" t="n">
        <f aca="false">B$5</f>
        <v>-13215.0736881762</v>
      </c>
      <c r="D95" s="77" t="n">
        <f aca="false">-B95*B$3/12</f>
        <v>-3412.92884956415</v>
      </c>
      <c r="E95" s="75" t="n">
        <f aca="false">C95-D95</f>
        <v>-9802.14483861202</v>
      </c>
    </row>
    <row r="96" customFormat="false" ht="15" hidden="false" customHeight="false" outlineLevel="0" collapsed="false">
      <c r="A96" s="79" t="n">
        <v>86</v>
      </c>
      <c r="B96" s="75" t="n">
        <f aca="false">B95+E95</f>
        <v>399749.317109086</v>
      </c>
      <c r="C96" s="75" t="n">
        <f aca="false">B$5</f>
        <v>-13215.0736881762</v>
      </c>
      <c r="D96" s="77" t="n">
        <f aca="false">-B96*B$3/12</f>
        <v>-3331.24430924238</v>
      </c>
      <c r="E96" s="75" t="n">
        <f aca="false">C96-D96</f>
        <v>-9883.82937893378</v>
      </c>
    </row>
    <row r="97" customFormat="false" ht="15" hidden="false" customHeight="false" outlineLevel="0" collapsed="false">
      <c r="A97" s="79" t="n">
        <v>87</v>
      </c>
      <c r="B97" s="75" t="n">
        <f aca="false">B96+E96</f>
        <v>389865.487730152</v>
      </c>
      <c r="C97" s="75" t="n">
        <f aca="false">B$5</f>
        <v>-13215.0736881762</v>
      </c>
      <c r="D97" s="77" t="n">
        <f aca="false">-B97*B$3/12</f>
        <v>-3248.87906441793</v>
      </c>
      <c r="E97" s="75" t="n">
        <f aca="false">C97-D97</f>
        <v>-9966.19462375823</v>
      </c>
    </row>
    <row r="98" customFormat="false" ht="15" hidden="false" customHeight="false" outlineLevel="0" collapsed="false">
      <c r="A98" s="79" t="n">
        <v>88</v>
      </c>
      <c r="B98" s="75" t="n">
        <f aca="false">B97+E97</f>
        <v>379899.293106394</v>
      </c>
      <c r="C98" s="75" t="n">
        <f aca="false">B$5</f>
        <v>-13215.0736881762</v>
      </c>
      <c r="D98" s="77" t="n">
        <f aca="false">-B98*B$3/12</f>
        <v>-3165.82744255328</v>
      </c>
      <c r="E98" s="75" t="n">
        <f aca="false">C98-D98</f>
        <v>-10049.2462456229</v>
      </c>
    </row>
    <row r="99" customFormat="false" ht="15" hidden="false" customHeight="false" outlineLevel="0" collapsed="false">
      <c r="A99" s="79" t="n">
        <v>89</v>
      </c>
      <c r="B99" s="75" t="n">
        <f aca="false">B98+E98</f>
        <v>369850.046860771</v>
      </c>
      <c r="C99" s="75" t="n">
        <f aca="false">B$5</f>
        <v>-13215.0736881762</v>
      </c>
      <c r="D99" s="77" t="n">
        <f aca="false">-B99*B$3/12</f>
        <v>-3082.08372383976</v>
      </c>
      <c r="E99" s="75" t="n">
        <f aca="false">C99-D99</f>
        <v>-10132.9899643364</v>
      </c>
    </row>
    <row r="100" customFormat="false" ht="15" hidden="false" customHeight="false" outlineLevel="0" collapsed="false">
      <c r="A100" s="79" t="n">
        <v>90</v>
      </c>
      <c r="B100" s="75" t="n">
        <f aca="false">B99+E99</f>
        <v>359717.056896434</v>
      </c>
      <c r="C100" s="75" t="n">
        <f aca="false">B$5</f>
        <v>-13215.0736881762</v>
      </c>
      <c r="D100" s="77" t="n">
        <f aca="false">-B100*B$3/12</f>
        <v>-2997.64214080362</v>
      </c>
      <c r="E100" s="75" t="n">
        <f aca="false">C100-D100</f>
        <v>-10217.4315473725</v>
      </c>
    </row>
    <row r="101" customFormat="false" ht="15" hidden="false" customHeight="false" outlineLevel="0" collapsed="false">
      <c r="A101" s="79" t="n">
        <v>91</v>
      </c>
      <c r="B101" s="75" t="n">
        <f aca="false">B100+E100</f>
        <v>349499.625349062</v>
      </c>
      <c r="C101" s="75" t="n">
        <f aca="false">B$5</f>
        <v>-13215.0736881762</v>
      </c>
      <c r="D101" s="77" t="n">
        <f aca="false">-B101*B$3/12</f>
        <v>-2912.49687790885</v>
      </c>
      <c r="E101" s="75" t="n">
        <f aca="false">C101-D101</f>
        <v>-10302.5768102673</v>
      </c>
    </row>
    <row r="102" customFormat="false" ht="15" hidden="false" customHeight="false" outlineLevel="0" collapsed="false">
      <c r="A102" s="79" t="n">
        <v>92</v>
      </c>
      <c r="B102" s="75" t="n">
        <f aca="false">B101+E101</f>
        <v>339197.048538795</v>
      </c>
      <c r="C102" s="75" t="n">
        <f aca="false">B$5</f>
        <v>-13215.0736881762</v>
      </c>
      <c r="D102" s="77" t="n">
        <f aca="false">-B102*B$3/12</f>
        <v>-2826.64207115662</v>
      </c>
      <c r="E102" s="75" t="n">
        <f aca="false">C102-D102</f>
        <v>-10388.4316170195</v>
      </c>
    </row>
    <row r="103" customFormat="false" ht="15" hidden="false" customHeight="false" outlineLevel="0" collapsed="false">
      <c r="A103" s="79" t="n">
        <v>93</v>
      </c>
      <c r="B103" s="75" t="n">
        <f aca="false">B102+E102</f>
        <v>328808.616921775</v>
      </c>
      <c r="C103" s="75" t="n">
        <f aca="false">B$5</f>
        <v>-13215.0736881762</v>
      </c>
      <c r="D103" s="77" t="n">
        <f aca="false">-B103*B$3/12</f>
        <v>-2740.07180768146</v>
      </c>
      <c r="E103" s="75" t="n">
        <f aca="false">C103-D103</f>
        <v>-10475.0018804947</v>
      </c>
    </row>
    <row r="104" customFormat="false" ht="15" hidden="false" customHeight="false" outlineLevel="0" collapsed="false">
      <c r="A104" s="79" t="n">
        <v>94</v>
      </c>
      <c r="B104" s="75" t="n">
        <f aca="false">B103+E103</f>
        <v>318333.61504128</v>
      </c>
      <c r="C104" s="75" t="n">
        <f aca="false">B$5</f>
        <v>-13215.0736881762</v>
      </c>
      <c r="D104" s="77" t="n">
        <f aca="false">-B104*B$3/12</f>
        <v>-2652.780125344</v>
      </c>
      <c r="E104" s="75" t="n">
        <f aca="false">C104-D104</f>
        <v>-10562.2935628322</v>
      </c>
    </row>
    <row r="105" customFormat="false" ht="15" hidden="false" customHeight="false" outlineLevel="0" collapsed="false">
      <c r="A105" s="79" t="n">
        <v>95</v>
      </c>
      <c r="B105" s="75" t="n">
        <f aca="false">B104+E104</f>
        <v>307771.321478448</v>
      </c>
      <c r="C105" s="75" t="n">
        <f aca="false">B$5</f>
        <v>-13215.0736881762</v>
      </c>
      <c r="D105" s="77" t="n">
        <f aca="false">-B105*B$3/12</f>
        <v>-2564.7610123204</v>
      </c>
      <c r="E105" s="75" t="n">
        <f aca="false">C105-D105</f>
        <v>-10650.3126758558</v>
      </c>
    </row>
    <row r="106" customFormat="false" ht="15" hidden="false" customHeight="false" outlineLevel="0" collapsed="false">
      <c r="A106" s="79" t="n">
        <v>96</v>
      </c>
      <c r="B106" s="75" t="n">
        <f aca="false">B105+E105</f>
        <v>297121.008802592</v>
      </c>
      <c r="C106" s="75" t="n">
        <f aca="false">B$5</f>
        <v>-13215.0736881762</v>
      </c>
      <c r="D106" s="77" t="n">
        <f aca="false">-B106*B$3/12</f>
        <v>-2476.00840668827</v>
      </c>
      <c r="E106" s="75" t="n">
        <f aca="false">C106-D106</f>
        <v>-10739.0652814879</v>
      </c>
    </row>
    <row r="107" customFormat="false" ht="15" hidden="false" customHeight="false" outlineLevel="0" collapsed="false">
      <c r="A107" s="79" t="n">
        <v>97</v>
      </c>
      <c r="B107" s="75" t="n">
        <f aca="false">B106+E106</f>
        <v>286381.943521105</v>
      </c>
      <c r="C107" s="75" t="n">
        <f aca="false">B$5</f>
        <v>-13215.0736881762</v>
      </c>
      <c r="D107" s="77" t="n">
        <f aca="false">-B107*B$3/12</f>
        <v>-2386.51619600921</v>
      </c>
      <c r="E107" s="75" t="n">
        <f aca="false">C107-D107</f>
        <v>-10828.557492167</v>
      </c>
    </row>
    <row r="108" customFormat="false" ht="15" hidden="false" customHeight="false" outlineLevel="0" collapsed="false">
      <c r="A108" s="79" t="n">
        <v>98</v>
      </c>
      <c r="B108" s="75" t="n">
        <f aca="false">B107+E107</f>
        <v>275553.386028938</v>
      </c>
      <c r="C108" s="75" t="n">
        <f aca="false">B$5</f>
        <v>-13215.0736881762</v>
      </c>
      <c r="D108" s="77" t="n">
        <f aca="false">-B108*B$3/12</f>
        <v>-2296.27821690781</v>
      </c>
      <c r="E108" s="75" t="n">
        <f aca="false">C108-D108</f>
        <v>-10918.7954712684</v>
      </c>
    </row>
    <row r="109" customFormat="false" ht="15" hidden="false" customHeight="false" outlineLevel="0" collapsed="false">
      <c r="A109" s="79" t="n">
        <v>99</v>
      </c>
      <c r="B109" s="75" t="n">
        <f aca="false">B108+E108</f>
        <v>264634.590557669</v>
      </c>
      <c r="C109" s="75" t="n">
        <f aca="false">B$5</f>
        <v>-13215.0736881762</v>
      </c>
      <c r="D109" s="77" t="n">
        <f aca="false">-B109*B$3/12</f>
        <v>-2205.28825464724</v>
      </c>
      <c r="E109" s="75" t="n">
        <f aca="false">C109-D109</f>
        <v>-11009.7854335289</v>
      </c>
    </row>
    <row r="110" customFormat="false" ht="15" hidden="false" customHeight="false" outlineLevel="0" collapsed="false">
      <c r="A110" s="79" t="n">
        <v>100</v>
      </c>
      <c r="B110" s="75" t="n">
        <f aca="false">B109+E109</f>
        <v>253624.80512414</v>
      </c>
      <c r="C110" s="75" t="n">
        <f aca="false">B$5</f>
        <v>-13215.0736881762</v>
      </c>
      <c r="D110" s="77" t="n">
        <f aca="false">-B110*B$3/12</f>
        <v>-2113.54004270117</v>
      </c>
      <c r="E110" s="75" t="n">
        <f aca="false">C110-D110</f>
        <v>-11101.533645475</v>
      </c>
    </row>
    <row r="111" customFormat="false" ht="15" hidden="false" customHeight="false" outlineLevel="0" collapsed="false">
      <c r="A111" s="79" t="n">
        <v>101</v>
      </c>
      <c r="B111" s="75" t="n">
        <f aca="false">B110+E110</f>
        <v>242523.271478665</v>
      </c>
      <c r="C111" s="75" t="n">
        <f aca="false">B$5</f>
        <v>-13215.0736881762</v>
      </c>
      <c r="D111" s="77" t="n">
        <f aca="false">-B111*B$3/12</f>
        <v>-2021.02726232221</v>
      </c>
      <c r="E111" s="75" t="n">
        <f aca="false">C111-D111</f>
        <v>-11194.046425854</v>
      </c>
    </row>
    <row r="112" customFormat="false" ht="15" hidden="false" customHeight="false" outlineLevel="0" collapsed="false">
      <c r="A112" s="79" t="n">
        <v>102</v>
      </c>
      <c r="B112" s="75" t="n">
        <f aca="false">B111+E111</f>
        <v>231329.225052811</v>
      </c>
      <c r="C112" s="75" t="n">
        <f aca="false">B$5</f>
        <v>-13215.0736881762</v>
      </c>
      <c r="D112" s="77" t="n">
        <f aca="false">-B112*B$3/12</f>
        <v>-1927.74354210676</v>
      </c>
      <c r="E112" s="75" t="n">
        <f aca="false">C112-D112</f>
        <v>-11287.3301460694</v>
      </c>
    </row>
    <row r="113" customFormat="false" ht="15" hidden="false" customHeight="false" outlineLevel="0" collapsed="false">
      <c r="A113" s="79" t="n">
        <v>103</v>
      </c>
      <c r="B113" s="75" t="n">
        <f aca="false">B112+E112</f>
        <v>220041.894906742</v>
      </c>
      <c r="C113" s="75" t="n">
        <f aca="false">B$5</f>
        <v>-13215.0736881762</v>
      </c>
      <c r="D113" s="77" t="n">
        <f aca="false">-B113*B$3/12</f>
        <v>-1833.68245755618</v>
      </c>
      <c r="E113" s="75" t="n">
        <f aca="false">C113-D113</f>
        <v>-11381.39123062</v>
      </c>
    </row>
    <row r="114" customFormat="false" ht="15" hidden="false" customHeight="false" outlineLevel="0" collapsed="false">
      <c r="A114" s="79" t="n">
        <v>104</v>
      </c>
      <c r="B114" s="75" t="n">
        <f aca="false">B113+E113</f>
        <v>208660.503676122</v>
      </c>
      <c r="C114" s="75" t="n">
        <f aca="false">B$5</f>
        <v>-13215.0736881762</v>
      </c>
      <c r="D114" s="77" t="n">
        <f aca="false">-B114*B$3/12</f>
        <v>-1738.83753063435</v>
      </c>
      <c r="E114" s="75" t="n">
        <f aca="false">C114-D114</f>
        <v>-11476.2361575418</v>
      </c>
    </row>
    <row r="115" customFormat="false" ht="15" hidden="false" customHeight="false" outlineLevel="0" collapsed="false">
      <c r="A115" s="79" t="n">
        <v>105</v>
      </c>
      <c r="B115" s="75" t="n">
        <f aca="false">B114+E114</f>
        <v>197184.26751858</v>
      </c>
      <c r="C115" s="75" t="n">
        <f aca="false">B$5</f>
        <v>-13215.0736881762</v>
      </c>
      <c r="D115" s="77" t="n">
        <f aca="false">-B115*B$3/12</f>
        <v>-1643.2022293215</v>
      </c>
      <c r="E115" s="75" t="n">
        <f aca="false">C115-D115</f>
        <v>-11571.8714588547</v>
      </c>
    </row>
    <row r="116" customFormat="false" ht="15" hidden="false" customHeight="false" outlineLevel="0" collapsed="false">
      <c r="A116" s="79" t="n">
        <v>106</v>
      </c>
      <c r="B116" s="75" t="n">
        <f aca="false">B115+E115</f>
        <v>185612.396059726</v>
      </c>
      <c r="C116" s="75" t="n">
        <f aca="false">B$5</f>
        <v>-13215.0736881762</v>
      </c>
      <c r="D116" s="77" t="n">
        <f aca="false">-B116*B$3/12</f>
        <v>-1546.76996716438</v>
      </c>
      <c r="E116" s="75" t="n">
        <f aca="false">C116-D116</f>
        <v>-11668.3037210118</v>
      </c>
    </row>
    <row r="117" customFormat="false" ht="15" hidden="false" customHeight="false" outlineLevel="0" collapsed="false">
      <c r="A117" s="79" t="n">
        <v>107</v>
      </c>
      <c r="B117" s="75" t="n">
        <f aca="false">B116+E116</f>
        <v>173944.092338714</v>
      </c>
      <c r="C117" s="75" t="n">
        <f aca="false">B$5</f>
        <v>-13215.0736881762</v>
      </c>
      <c r="D117" s="77" t="n">
        <f aca="false">-B117*B$3/12</f>
        <v>-1449.53410282261</v>
      </c>
      <c r="E117" s="75" t="n">
        <f aca="false">C117-D117</f>
        <v>-11765.5395853536</v>
      </c>
    </row>
    <row r="118" customFormat="false" ht="15" hidden="false" customHeight="false" outlineLevel="0" collapsed="false">
      <c r="A118" s="79" t="n">
        <v>108</v>
      </c>
      <c r="B118" s="75" t="n">
        <f aca="false">B117+E117</f>
        <v>162178.55275336</v>
      </c>
      <c r="C118" s="75" t="n">
        <f aca="false">B$5</f>
        <v>-13215.0736881762</v>
      </c>
      <c r="D118" s="77" t="n">
        <f aca="false">-B118*B$3/12</f>
        <v>-1351.48793961134</v>
      </c>
      <c r="E118" s="75" t="n">
        <f aca="false">C118-D118</f>
        <v>-11863.5857485648</v>
      </c>
    </row>
    <row r="119" customFormat="false" ht="15" hidden="false" customHeight="false" outlineLevel="0" collapsed="false">
      <c r="A119" s="79" t="n">
        <v>109</v>
      </c>
      <c r="B119" s="75" t="n">
        <f aca="false">B118+E118</f>
        <v>150314.967004795</v>
      </c>
      <c r="C119" s="75" t="n">
        <f aca="false">B$5</f>
        <v>-13215.0736881762</v>
      </c>
      <c r="D119" s="77" t="n">
        <f aca="false">-B119*B$3/12</f>
        <v>-1252.62472503996</v>
      </c>
      <c r="E119" s="75" t="n">
        <f aca="false">C119-D119</f>
        <v>-11962.4489631362</v>
      </c>
    </row>
    <row r="120" customFormat="false" ht="15" hidden="false" customHeight="false" outlineLevel="0" collapsed="false">
      <c r="A120" s="79" t="n">
        <v>110</v>
      </c>
      <c r="B120" s="75" t="n">
        <f aca="false">B119+E119</f>
        <v>138352.518041659</v>
      </c>
      <c r="C120" s="75" t="n">
        <f aca="false">B$5</f>
        <v>-13215.0736881762</v>
      </c>
      <c r="D120" s="77" t="n">
        <f aca="false">-B120*B$3/12</f>
        <v>-1152.93765034716</v>
      </c>
      <c r="E120" s="75" t="n">
        <f aca="false">C120-D120</f>
        <v>-12062.136037829</v>
      </c>
    </row>
    <row r="121" customFormat="false" ht="15" hidden="false" customHeight="false" outlineLevel="0" collapsed="false">
      <c r="A121" s="79" t="n">
        <v>111</v>
      </c>
      <c r="B121" s="75" t="n">
        <f aca="false">B120+E120</f>
        <v>126290.38200383</v>
      </c>
      <c r="C121" s="75" t="n">
        <f aca="false">B$5</f>
        <v>-13215.0736881762</v>
      </c>
      <c r="D121" s="77" t="n">
        <f aca="false">-B121*B$3/12</f>
        <v>-1052.41985003192</v>
      </c>
      <c r="E121" s="75" t="n">
        <f aca="false">C121-D121</f>
        <v>-12162.6538381442</v>
      </c>
    </row>
    <row r="122" customFormat="false" ht="15" hidden="false" customHeight="false" outlineLevel="0" collapsed="false">
      <c r="A122" s="79" t="n">
        <v>112</v>
      </c>
      <c r="B122" s="75" t="n">
        <f aca="false">B121+E121</f>
        <v>114127.728165686</v>
      </c>
      <c r="C122" s="75" t="n">
        <f aca="false">B$5</f>
        <v>-13215.0736881762</v>
      </c>
      <c r="D122" s="77" t="n">
        <f aca="false">-B122*B$3/12</f>
        <v>-951.064401380716</v>
      </c>
      <c r="E122" s="75" t="n">
        <f aca="false">C122-D122</f>
        <v>-12264.0092867955</v>
      </c>
    </row>
    <row r="123" customFormat="false" ht="15" hidden="false" customHeight="false" outlineLevel="0" collapsed="false">
      <c r="A123" s="79" t="n">
        <v>113</v>
      </c>
      <c r="B123" s="75" t="n">
        <f aca="false">B122+E122</f>
        <v>101863.718878891</v>
      </c>
      <c r="C123" s="75" t="n">
        <f aca="false">B$5</f>
        <v>-13215.0736881762</v>
      </c>
      <c r="D123" s="77" t="n">
        <f aca="false">-B123*B$3/12</f>
        <v>-848.864323990754</v>
      </c>
      <c r="E123" s="75" t="n">
        <f aca="false">C123-D123</f>
        <v>-12366.2093641854</v>
      </c>
    </row>
    <row r="124" customFormat="false" ht="15" hidden="false" customHeight="false" outlineLevel="0" collapsed="false">
      <c r="A124" s="79" t="n">
        <v>114</v>
      </c>
      <c r="B124" s="75" t="n">
        <f aca="false">B123+E123</f>
        <v>89497.5095147051</v>
      </c>
      <c r="C124" s="75" t="n">
        <f aca="false">B$5</f>
        <v>-13215.0736881762</v>
      </c>
      <c r="D124" s="77" t="n">
        <f aca="false">-B124*B$3/12</f>
        <v>-745.812579289209</v>
      </c>
      <c r="E124" s="75" t="n">
        <f aca="false">C124-D124</f>
        <v>-12469.261108887</v>
      </c>
    </row>
    <row r="125" customFormat="false" ht="15" hidden="false" customHeight="false" outlineLevel="0" collapsed="false">
      <c r="A125" s="79" t="n">
        <v>115</v>
      </c>
      <c r="B125" s="75" t="n">
        <f aca="false">B124+E124</f>
        <v>77028.2484058181</v>
      </c>
      <c r="C125" s="75" t="n">
        <f aca="false">B$5</f>
        <v>-13215.0736881762</v>
      </c>
      <c r="D125" s="77" t="n">
        <f aca="false">-B125*B$3/12</f>
        <v>-641.902070048484</v>
      </c>
      <c r="E125" s="75" t="n">
        <f aca="false">C125-D125</f>
        <v>-12573.1716181277</v>
      </c>
    </row>
    <row r="126" customFormat="false" ht="15" hidden="false" customHeight="false" outlineLevel="0" collapsed="false">
      <c r="A126" s="79" t="n">
        <v>116</v>
      </c>
      <c r="B126" s="75" t="n">
        <f aca="false">B125+E125</f>
        <v>64455.0767876904</v>
      </c>
      <c r="C126" s="75" t="n">
        <f aca="false">B$5</f>
        <v>-13215.0736881762</v>
      </c>
      <c r="D126" s="77" t="n">
        <f aca="false">-B126*B$3/12</f>
        <v>-537.12563989742</v>
      </c>
      <c r="E126" s="75" t="n">
        <f aca="false">C126-D126</f>
        <v>-12677.9480482787</v>
      </c>
    </row>
    <row r="127" customFormat="false" ht="15" hidden="false" customHeight="false" outlineLevel="0" collapsed="false">
      <c r="A127" s="79" t="n">
        <v>117</v>
      </c>
      <c r="B127" s="75" t="n">
        <f aca="false">B126+E126</f>
        <v>51777.1287394117</v>
      </c>
      <c r="C127" s="75" t="n">
        <f aca="false">B$5</f>
        <v>-13215.0736881762</v>
      </c>
      <c r="D127" s="77" t="n">
        <f aca="false">-B127*B$3/12</f>
        <v>-431.476072828431</v>
      </c>
      <c r="E127" s="75" t="n">
        <f aca="false">C127-D127</f>
        <v>-12783.5976153477</v>
      </c>
    </row>
    <row r="128" customFormat="false" ht="15" hidden="false" customHeight="false" outlineLevel="0" collapsed="false">
      <c r="A128" s="79" t="n">
        <v>118</v>
      </c>
      <c r="B128" s="75" t="n">
        <f aca="false">B127+E127</f>
        <v>38993.5311240639</v>
      </c>
      <c r="C128" s="75" t="n">
        <f aca="false">B$5</f>
        <v>-13215.0736881762</v>
      </c>
      <c r="D128" s="77" t="n">
        <f aca="false">-B128*B$3/12</f>
        <v>-324.946092700533</v>
      </c>
      <c r="E128" s="75" t="n">
        <f aca="false">C128-D128</f>
        <v>-12890.1275954756</v>
      </c>
    </row>
    <row r="129" customFormat="false" ht="15" hidden="false" customHeight="false" outlineLevel="0" collapsed="false">
      <c r="A129" s="79" t="n">
        <v>119</v>
      </c>
      <c r="B129" s="75" t="n">
        <f aca="false">B128+E128</f>
        <v>26103.4035285883</v>
      </c>
      <c r="C129" s="75" t="n">
        <f aca="false">B$5</f>
        <v>-13215.0736881762</v>
      </c>
      <c r="D129" s="77" t="n">
        <f aca="false">-B129*B$3/12</f>
        <v>-217.528362738236</v>
      </c>
      <c r="E129" s="75" t="n">
        <f aca="false">C129-D129</f>
        <v>-12997.5453254379</v>
      </c>
    </row>
    <row r="130" customFormat="false" ht="15" hidden="false" customHeight="false" outlineLevel="0" collapsed="false">
      <c r="A130" s="79" t="n">
        <v>120</v>
      </c>
      <c r="B130" s="75" t="n">
        <f aca="false">B129+E129</f>
        <v>13105.8582031504</v>
      </c>
      <c r="C130" s="75" t="n">
        <f aca="false">B$5</f>
        <v>-13215.0736881762</v>
      </c>
      <c r="D130" s="77" t="n">
        <f aca="false">-B130*B$3/12</f>
        <v>-109.215485026253</v>
      </c>
      <c r="E130" s="75" t="n">
        <f aca="false">C130-D130</f>
        <v>-13105.8582031499</v>
      </c>
    </row>
    <row r="131" customFormat="false" ht="15" hidden="false" customHeight="false" outlineLevel="0" collapsed="false">
      <c r="B131" s="23" t="n">
        <f aca="false">SUM(B11:B130)</f>
        <v>70297061.1097368</v>
      </c>
      <c r="C131" s="23" t="n">
        <f aca="false">SUM(C11:C130)</f>
        <v>-1585808.84258114</v>
      </c>
      <c r="D131" s="23" t="n">
        <f aca="false">SUM(D11:D130)</f>
        <v>-585808.84258114</v>
      </c>
      <c r="E131" s="23" t="n">
        <f aca="false">SUM(E11:E130)</f>
        <v>-1000000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17"/>
  <sheetViews>
    <sheetView windowProtection="false" showFormulas="false" showGridLines="true" showRowColHeaders="true" showZeros="true" rightToLeft="false" tabSelected="false" showOutlineSymbols="true" defaultGridColor="true" view="normal" topLeftCell="A4" colorId="64" zoomScale="145" zoomScaleNormal="145" zoomScalePageLayoutView="100" workbookViewId="0">
      <selection pane="topLeft" activeCell="B14" activeCellId="0" sqref="B14"/>
    </sheetView>
  </sheetViews>
  <sheetFormatPr defaultRowHeight="15"/>
  <cols>
    <col collapsed="false" hidden="false" max="1" min="1" style="1" width="21.5101214574899"/>
    <col collapsed="false" hidden="false" max="2" min="2" style="1" width="27.251012145749"/>
    <col collapsed="false" hidden="false" max="3" min="3" style="1" width="23.1376518218623"/>
    <col collapsed="false" hidden="false" max="4" min="4" style="1" width="12.5101214574899"/>
    <col collapsed="false" hidden="false" max="5" min="5" style="1" width="18.5101214574899"/>
    <col collapsed="false" hidden="false" max="1025" min="6" style="1" width="10.5425101214575"/>
  </cols>
  <sheetData>
    <row r="1" customFormat="false" ht="15" hidden="false" customHeight="false" outlineLevel="0" collapsed="false">
      <c r="A1" s="0"/>
      <c r="B1" s="0"/>
      <c r="C1" s="0"/>
      <c r="D1" s="0"/>
      <c r="E1" s="0"/>
    </row>
    <row r="2" customFormat="false" ht="15" hidden="false" customHeight="false" outlineLevel="0" collapsed="false">
      <c r="A2" s="70" t="s">
        <v>116</v>
      </c>
      <c r="B2" s="70" t="n">
        <v>100000</v>
      </c>
      <c r="C2" s="1" t="s">
        <v>1</v>
      </c>
      <c r="D2" s="1" t="s">
        <v>1</v>
      </c>
      <c r="E2" s="1" t="s">
        <v>1</v>
      </c>
    </row>
    <row r="3" customFormat="false" ht="15" hidden="false" customHeight="false" outlineLevel="0" collapsed="false">
      <c r="A3" s="70" t="s">
        <v>117</v>
      </c>
      <c r="B3" s="74" t="n">
        <v>0.1</v>
      </c>
      <c r="C3" s="1" t="s">
        <v>1</v>
      </c>
      <c r="D3" s="1" t="s">
        <v>1</v>
      </c>
      <c r="E3" s="1" t="s">
        <v>1</v>
      </c>
    </row>
    <row r="4" customFormat="false" ht="15" hidden="false" customHeight="false" outlineLevel="0" collapsed="false">
      <c r="A4" s="70" t="s">
        <v>85</v>
      </c>
      <c r="B4" s="70" t="n">
        <v>25000</v>
      </c>
      <c r="C4" s="1" t="s">
        <v>1</v>
      </c>
      <c r="D4" s="1" t="s">
        <v>1</v>
      </c>
      <c r="E4" s="1" t="s">
        <v>1</v>
      </c>
    </row>
    <row r="5" customFormat="false" ht="15" hidden="false" customHeight="false" outlineLevel="0" collapsed="false">
      <c r="A5" s="1" t="s">
        <v>1</v>
      </c>
      <c r="B5" s="1" t="s">
        <v>1</v>
      </c>
      <c r="C5" s="1" t="s">
        <v>1</v>
      </c>
      <c r="D5" s="1" t="s">
        <v>1</v>
      </c>
      <c r="E5" s="1" t="s">
        <v>1</v>
      </c>
    </row>
    <row r="6" customFormat="false" ht="15" hidden="false" customHeight="false" outlineLevel="0" collapsed="false">
      <c r="A6" s="70" t="s">
        <v>92</v>
      </c>
      <c r="B6" s="70" t="s">
        <v>118</v>
      </c>
      <c r="C6" s="70" t="s">
        <v>119</v>
      </c>
      <c r="D6" s="70" t="s">
        <v>120</v>
      </c>
      <c r="E6" s="70" t="s">
        <v>121</v>
      </c>
    </row>
    <row r="7" customFormat="false" ht="15" hidden="false" customHeight="false" outlineLevel="0" collapsed="false">
      <c r="A7" s="70" t="s">
        <v>97</v>
      </c>
      <c r="B7" s="70" t="n">
        <f aca="false">B2</f>
        <v>100000</v>
      </c>
      <c r="C7" s="70" t="n">
        <v>25000</v>
      </c>
      <c r="D7" s="77" t="n">
        <f aca="false">B7*B$3</f>
        <v>10000</v>
      </c>
      <c r="E7" s="77" t="n">
        <f aca="false">C7-D7</f>
        <v>15000</v>
      </c>
    </row>
    <row r="8" customFormat="false" ht="15" hidden="false" customHeight="false" outlineLevel="0" collapsed="false">
      <c r="A8" s="70" t="s">
        <v>98</v>
      </c>
      <c r="B8" s="77" t="n">
        <f aca="false">B7-E7</f>
        <v>85000</v>
      </c>
      <c r="C8" s="70" t="n">
        <v>25000</v>
      </c>
      <c r="D8" s="77" t="n">
        <f aca="false">B8*B$3</f>
        <v>8500</v>
      </c>
      <c r="E8" s="77" t="n">
        <f aca="false">C8-D8</f>
        <v>16500</v>
      </c>
    </row>
    <row r="9" customFormat="false" ht="15" hidden="false" customHeight="false" outlineLevel="0" collapsed="false">
      <c r="A9" s="70" t="s">
        <v>99</v>
      </c>
      <c r="B9" s="77" t="n">
        <f aca="false">B8-E8</f>
        <v>68500</v>
      </c>
      <c r="C9" s="70" t="n">
        <v>25000</v>
      </c>
      <c r="D9" s="77" t="n">
        <f aca="false">B9*B$3</f>
        <v>6850</v>
      </c>
      <c r="E9" s="77" t="n">
        <f aca="false">C9-D9</f>
        <v>18150</v>
      </c>
    </row>
    <row r="10" customFormat="false" ht="15" hidden="false" customHeight="false" outlineLevel="0" collapsed="false">
      <c r="A10" s="70" t="s">
        <v>100</v>
      </c>
      <c r="B10" s="77" t="n">
        <f aca="false">B9-E9</f>
        <v>50350</v>
      </c>
      <c r="C10" s="70" t="n">
        <v>25000</v>
      </c>
      <c r="D10" s="77" t="n">
        <f aca="false">B10*B$3</f>
        <v>5035</v>
      </c>
      <c r="E10" s="77" t="n">
        <f aca="false">C10-D10</f>
        <v>19965</v>
      </c>
    </row>
    <row r="11" customFormat="false" ht="15" hidden="false" customHeight="false" outlineLevel="0" collapsed="false">
      <c r="A11" s="80" t="s">
        <v>101</v>
      </c>
      <c r="B11" s="77" t="n">
        <f aca="false">B10-E10</f>
        <v>30385</v>
      </c>
      <c r="C11" s="70" t="n">
        <v>25000</v>
      </c>
      <c r="D11" s="77" t="n">
        <f aca="false">B11*B$3</f>
        <v>3038.5</v>
      </c>
      <c r="E11" s="77" t="n">
        <f aca="false">C11-D11</f>
        <v>21961.5</v>
      </c>
    </row>
    <row r="12" customFormat="false" ht="15" hidden="false" customHeight="false" outlineLevel="0" collapsed="false">
      <c r="A12" s="80" t="s">
        <v>102</v>
      </c>
      <c r="B12" s="81" t="n">
        <f aca="false">B11-E11</f>
        <v>8423.5</v>
      </c>
      <c r="C12" s="70" t="n">
        <v>25000</v>
      </c>
      <c r="D12" s="77" t="n">
        <f aca="false">B12*B$3</f>
        <v>842.35</v>
      </c>
      <c r="E12" s="81" t="n">
        <f aca="false">C12-D12</f>
        <v>24157.65</v>
      </c>
    </row>
    <row r="13" customFormat="false" ht="15" hidden="false" customHeight="false" outlineLevel="0" collapsed="false">
      <c r="A13" s="0"/>
      <c r="B13" s="0"/>
      <c r="D13" s="9" t="n">
        <f aca="false">SUM(D7:D12)</f>
        <v>34265.85</v>
      </c>
      <c r="E13" s="9" t="n">
        <f aca="false">SUM(E7:E12)</f>
        <v>115734.15</v>
      </c>
    </row>
    <row r="14" customFormat="false" ht="15" hidden="false" customHeight="false" outlineLevel="0" collapsed="false">
      <c r="A14" s="70" t="s">
        <v>122</v>
      </c>
      <c r="B14" s="77" t="n">
        <f aca="false">NPER(B3,-B4,B2)</f>
        <v>5.35961242350748</v>
      </c>
    </row>
    <row r="15" customFormat="false" ht="15" hidden="false" customHeight="false" outlineLevel="0" collapsed="false">
      <c r="A15" s="0"/>
    </row>
    <row r="16" customFormat="false" ht="15" hidden="false" customHeight="false" outlineLevel="0" collapsed="false">
      <c r="A16" s="0"/>
    </row>
    <row r="17" customFormat="false" ht="15" hidden="false" customHeight="false" outlineLevel="0" collapsed="false">
      <c r="A17" s="1" t="s">
        <v>123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RowHeight="15"/>
  <cols>
    <col collapsed="false" hidden="false" max="1" min="1" style="0" width="51.8461538461539"/>
    <col collapsed="false" hidden="false" max="2" min="2" style="0" width="19.8825910931174"/>
  </cols>
  <sheetData>
    <row r="1" customFormat="false" ht="15" hidden="false" customHeight="false" outlineLevel="0" collapsed="false">
      <c r="A1" s="0" t="s">
        <v>124</v>
      </c>
      <c r="B1" s="0" t="n">
        <v>10000</v>
      </c>
    </row>
    <row r="2" customFormat="false" ht="15" hidden="false" customHeight="false" outlineLevel="0" collapsed="false">
      <c r="A2" s="0" t="s">
        <v>125</v>
      </c>
      <c r="B2" s="82" t="n">
        <v>50</v>
      </c>
      <c r="D2" s="0" t="s">
        <v>126</v>
      </c>
    </row>
    <row r="3" customFormat="false" ht="15" hidden="false" customHeight="false" outlineLevel="0" collapsed="false">
      <c r="A3" s="0" t="s">
        <v>127</v>
      </c>
      <c r="B3" s="0" t="n">
        <v>1200</v>
      </c>
      <c r="D3" s="0" t="s">
        <v>128</v>
      </c>
    </row>
    <row r="4" customFormat="false" ht="15" hidden="false" customHeight="false" outlineLevel="0" collapsed="false">
      <c r="A4" s="0" t="s">
        <v>129</v>
      </c>
      <c r="B4" s="0" t="n">
        <v>80</v>
      </c>
      <c r="D4" s="82" t="n">
        <v>65.2173913043478</v>
      </c>
      <c r="E4" s="0" t="s">
        <v>130</v>
      </c>
    </row>
    <row r="5" customFormat="false" ht="15" hidden="false" customHeight="false" outlineLevel="0" collapsed="false">
      <c r="A5" s="0" t="s">
        <v>131</v>
      </c>
      <c r="B5" s="0" t="n">
        <f aca="false">B1*B2*(B3-B4)</f>
        <v>560000000</v>
      </c>
    </row>
    <row r="8" customFormat="false" ht="15" hidden="false" customHeight="false" outlineLevel="0" collapsed="false">
      <c r="A8" s="0" t="s">
        <v>132</v>
      </c>
    </row>
    <row r="9" customFormat="false" ht="15" hidden="false" customHeight="false" outlineLevel="0" collapsed="false">
      <c r="A9" s="0" t="s">
        <v>133</v>
      </c>
    </row>
  </sheetData>
  <scenarios current="0" show="0">
    <scenario name="Org" locked="true" count="4" user="Calc" comment="Created by Author on 11/30/2017&#10;Modified by Author on 11/30/2017&#10;Modified by Author on 11/30/2017">
      <inputCells r="B1" val="10000"/>
      <inputCells r="B2" val="50"/>
      <inputCells r="B3" val="1200"/>
      <inputCells r="B4" val="80"/>
    </scenario>
    <scenario name="s1" locked="true" count="4" user="Calc" comment="Created by Author on 11/30/2017&#10;Modified by Author on 11/30/2017">
      <inputCells r="B1" val="10000"/>
      <inputCells r="B2" val="70"/>
      <inputCells r="B3" val="1200"/>
      <inputCells r="B4" val="80"/>
    </scenario>
    <scenario name="s2" locked="true" count="4" user="Calc" comment="Created by Author on 11/30/2017&#10;Modified by Author on 11/30/2017">
      <inputCells r="B1" val="11000"/>
      <inputCells r="B2" val="55"/>
      <inputCells r="B3" val="1100"/>
      <inputCells r="B4" val="75"/>
    </scenario>
    <scenario name="s3" locked="true" count="4" user="Calc" comment="Created by Author on 11/30/2017&#10;Modified by Author on 11/30/2017">
      <inputCells r="B1" val="13000"/>
      <inputCells r="B2" val="75"/>
      <inputCells r="B3" val="1100"/>
      <inputCells r="B4" val="95"/>
    </scenario>
    <scenario name="Sheet1_2" locked="true" count="4" user="Calc" comment="Created by Author on 11/30/2017">
      <inputCells r="B1" val="10000"/>
      <inputCells r="B2" val="50"/>
      <inputCells r="B3" val="1200"/>
      <inputCells r="B4" val="80"/>
    </scenario>
  </scenario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H65536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.75"/>
  <cols>
    <col collapsed="false" hidden="false" max="3" min="3" style="0" width="39.9352226720648"/>
    <col collapsed="false" hidden="false" max="8" min="4" style="0" width="15.17004048583"/>
  </cols>
  <sheetData>
    <row r="2" customFormat="false" ht="15.75" hidden="false" customHeight="false" outlineLevel="0" collapsed="false">
      <c r="B2" s="83" t="s">
        <v>134</v>
      </c>
      <c r="C2" s="83"/>
      <c r="D2" s="84"/>
      <c r="E2" s="84"/>
      <c r="F2" s="84"/>
      <c r="G2" s="84"/>
      <c r="H2" s="84"/>
    </row>
    <row r="3" customFormat="false" ht="15.75" hidden="false" customHeight="false" outlineLevel="0" collapsed="false">
      <c r="B3" s="85"/>
      <c r="C3" s="85"/>
      <c r="D3" s="86" t="s">
        <v>135</v>
      </c>
      <c r="E3" s="86" t="s">
        <v>136</v>
      </c>
      <c r="F3" s="86" t="s">
        <v>137</v>
      </c>
      <c r="G3" s="86" t="s">
        <v>138</v>
      </c>
      <c r="H3" s="86" t="s">
        <v>139</v>
      </c>
    </row>
    <row r="4" customFormat="false" ht="90" hidden="true" customHeight="false" outlineLevel="1" collapsed="false">
      <c r="B4" s="87"/>
      <c r="C4" s="87"/>
      <c r="D4" s="88"/>
      <c r="E4" s="89" t="s">
        <v>140</v>
      </c>
      <c r="F4" s="89" t="s">
        <v>141</v>
      </c>
      <c r="G4" s="89" t="s">
        <v>141</v>
      </c>
      <c r="H4" s="89" t="s">
        <v>141</v>
      </c>
    </row>
    <row r="5" customFormat="false" ht="15" hidden="false" customHeight="false" outlineLevel="0" collapsed="false">
      <c r="B5" s="90" t="s">
        <v>142</v>
      </c>
      <c r="C5" s="90"/>
      <c r="D5" s="91"/>
      <c r="E5" s="91"/>
      <c r="F5" s="91"/>
      <c r="G5" s="91"/>
      <c r="H5" s="91"/>
    </row>
    <row r="6" customFormat="false" ht="15" hidden="false" customHeight="false" outlineLevel="1" collapsed="false">
      <c r="B6" s="87"/>
      <c r="C6" s="87" t="s">
        <v>143</v>
      </c>
      <c r="D6" s="88" t="n">
        <v>10000</v>
      </c>
      <c r="E6" s="92" t="n">
        <v>10000</v>
      </c>
      <c r="F6" s="92" t="n">
        <v>10000</v>
      </c>
      <c r="G6" s="92" t="n">
        <v>11000</v>
      </c>
      <c r="H6" s="92" t="n">
        <v>13000</v>
      </c>
    </row>
    <row r="7" customFormat="false" ht="15" hidden="false" customHeight="false" outlineLevel="1" collapsed="false">
      <c r="B7" s="87"/>
      <c r="C7" s="87" t="s">
        <v>144</v>
      </c>
      <c r="D7" s="93" t="n">
        <v>50</v>
      </c>
      <c r="E7" s="94" t="n">
        <v>50</v>
      </c>
      <c r="F7" s="94" t="n">
        <v>70</v>
      </c>
      <c r="G7" s="94" t="n">
        <v>55</v>
      </c>
      <c r="H7" s="94" t="n">
        <v>75</v>
      </c>
    </row>
    <row r="8" customFormat="false" ht="15" hidden="false" customHeight="false" outlineLevel="1" collapsed="false">
      <c r="B8" s="87"/>
      <c r="C8" s="87" t="s">
        <v>145</v>
      </c>
      <c r="D8" s="88" t="n">
        <v>1200</v>
      </c>
      <c r="E8" s="92" t="n">
        <v>1200</v>
      </c>
      <c r="F8" s="92" t="n">
        <v>1200</v>
      </c>
      <c r="G8" s="92" t="n">
        <v>1100</v>
      </c>
      <c r="H8" s="92" t="n">
        <v>1100</v>
      </c>
    </row>
    <row r="9" customFormat="false" ht="15" hidden="false" customHeight="false" outlineLevel="1" collapsed="false">
      <c r="B9" s="87"/>
      <c r="C9" s="87" t="s">
        <v>146</v>
      </c>
      <c r="D9" s="88" t="n">
        <v>80</v>
      </c>
      <c r="E9" s="92" t="n">
        <v>80</v>
      </c>
      <c r="F9" s="92" t="n">
        <v>80</v>
      </c>
      <c r="G9" s="92" t="n">
        <v>75</v>
      </c>
      <c r="H9" s="92" t="n">
        <v>95</v>
      </c>
    </row>
    <row r="10" customFormat="false" ht="15" hidden="false" customHeight="false" outlineLevel="0" collapsed="false">
      <c r="B10" s="90" t="s">
        <v>147</v>
      </c>
      <c r="C10" s="90"/>
      <c r="D10" s="91"/>
      <c r="E10" s="91"/>
      <c r="F10" s="91"/>
      <c r="G10" s="91"/>
      <c r="H10" s="91"/>
    </row>
    <row r="11" customFormat="false" ht="15.75" hidden="false" customHeight="false" outlineLevel="1" collapsed="false">
      <c r="B11" s="95"/>
      <c r="C11" s="95" t="s">
        <v>148</v>
      </c>
      <c r="D11" s="96" t="n">
        <v>560000000</v>
      </c>
      <c r="E11" s="96" t="n">
        <v>560000000</v>
      </c>
      <c r="F11" s="96" t="n">
        <v>784000000</v>
      </c>
      <c r="G11" s="96" t="n">
        <v>620125000</v>
      </c>
      <c r="H11" s="96" t="n">
        <v>979875000</v>
      </c>
    </row>
    <row r="12" customFormat="false" ht="15" hidden="false" customHeight="false" outlineLevel="0" collapsed="false">
      <c r="B12" s="0" t="s">
        <v>149</v>
      </c>
    </row>
    <row r="13" customFormat="false" ht="15" hidden="false" customHeight="false" outlineLevel="0" collapsed="false">
      <c r="B13" s="0" t="s">
        <v>150</v>
      </c>
    </row>
    <row r="14" customFormat="false" ht="15" hidden="false" customHeight="false" outlineLevel="0" collapsed="false">
      <c r="B14" s="0" t="s">
        <v>151</v>
      </c>
    </row>
    <row r="1048576" customFormat="fals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I65536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.75"/>
  <cols>
    <col collapsed="false" hidden="false" max="3" min="3" style="0" width="39.9352226720648"/>
    <col collapsed="false" hidden="false" max="9" min="4" style="0" width="15.17004048583"/>
  </cols>
  <sheetData>
    <row r="2" customFormat="false" ht="15.75" hidden="false" customHeight="false" outlineLevel="0" collapsed="false">
      <c r="B2" s="83" t="s">
        <v>134</v>
      </c>
      <c r="C2" s="83"/>
      <c r="D2" s="84"/>
      <c r="E2" s="84"/>
      <c r="F2" s="84"/>
      <c r="G2" s="84"/>
      <c r="H2" s="84"/>
      <c r="I2" s="84"/>
    </row>
    <row r="3" customFormat="false" ht="15.75" hidden="false" customHeight="false" outlineLevel="0" collapsed="false">
      <c r="B3" s="85"/>
      <c r="C3" s="85"/>
      <c r="D3" s="86" t="s">
        <v>135</v>
      </c>
      <c r="E3" s="86" t="s">
        <v>136</v>
      </c>
      <c r="F3" s="86" t="s">
        <v>137</v>
      </c>
      <c r="G3" s="86" t="s">
        <v>138</v>
      </c>
      <c r="H3" s="86" t="s">
        <v>139</v>
      </c>
      <c r="I3" s="86" t="s">
        <v>152</v>
      </c>
    </row>
    <row r="4" customFormat="false" ht="101.25" hidden="true" customHeight="false" outlineLevel="1" collapsed="false">
      <c r="B4" s="87"/>
      <c r="C4" s="87"/>
      <c r="D4" s="88"/>
      <c r="E4" s="89" t="s">
        <v>153</v>
      </c>
      <c r="F4" s="89" t="s">
        <v>154</v>
      </c>
      <c r="G4" s="89" t="s">
        <v>154</v>
      </c>
      <c r="H4" s="89" t="s">
        <v>154</v>
      </c>
      <c r="I4" s="89" t="s">
        <v>155</v>
      </c>
    </row>
    <row r="5" customFormat="false" ht="15" hidden="false" customHeight="false" outlineLevel="0" collapsed="false">
      <c r="B5" s="90" t="s">
        <v>142</v>
      </c>
      <c r="C5" s="90"/>
      <c r="D5" s="91"/>
      <c r="E5" s="91"/>
      <c r="F5" s="91"/>
      <c r="G5" s="91"/>
      <c r="H5" s="91"/>
      <c r="I5" s="91"/>
    </row>
    <row r="6" customFormat="false" ht="15" hidden="false" customHeight="false" outlineLevel="1" collapsed="false">
      <c r="B6" s="87"/>
      <c r="C6" s="87" t="s">
        <v>143</v>
      </c>
      <c r="D6" s="88" t="n">
        <v>10000</v>
      </c>
      <c r="E6" s="92" t="n">
        <v>10000</v>
      </c>
      <c r="F6" s="92" t="n">
        <v>10000</v>
      </c>
      <c r="G6" s="92" t="n">
        <v>11000</v>
      </c>
      <c r="H6" s="92" t="n">
        <v>13000</v>
      </c>
      <c r="I6" s="92" t="n">
        <v>12000</v>
      </c>
    </row>
    <row r="7" customFormat="false" ht="15" hidden="false" customHeight="false" outlineLevel="1" collapsed="false">
      <c r="B7" s="87"/>
      <c r="C7" s="87" t="s">
        <v>144</v>
      </c>
      <c r="D7" s="93" t="n">
        <v>50</v>
      </c>
      <c r="E7" s="94" t="n">
        <v>50</v>
      </c>
      <c r="F7" s="94" t="n">
        <v>70</v>
      </c>
      <c r="G7" s="94" t="n">
        <v>55</v>
      </c>
      <c r="H7" s="94" t="n">
        <v>75</v>
      </c>
      <c r="I7" s="94" t="n">
        <v>70</v>
      </c>
    </row>
    <row r="8" customFormat="false" ht="15" hidden="false" customHeight="false" outlineLevel="1" collapsed="false">
      <c r="B8" s="87"/>
      <c r="C8" s="87" t="s">
        <v>145</v>
      </c>
      <c r="D8" s="88" t="n">
        <v>1200</v>
      </c>
      <c r="E8" s="92" t="n">
        <v>1200</v>
      </c>
      <c r="F8" s="92" t="n">
        <v>1200</v>
      </c>
      <c r="G8" s="92" t="n">
        <v>1100</v>
      </c>
      <c r="H8" s="92" t="n">
        <v>1100</v>
      </c>
      <c r="I8" s="92" t="n">
        <v>1000</v>
      </c>
    </row>
    <row r="9" customFormat="false" ht="15" hidden="false" customHeight="false" outlineLevel="1" collapsed="false">
      <c r="B9" s="87"/>
      <c r="C9" s="87" t="s">
        <v>146</v>
      </c>
      <c r="D9" s="88" t="n">
        <v>80</v>
      </c>
      <c r="E9" s="92" t="n">
        <v>80</v>
      </c>
      <c r="F9" s="92" t="n">
        <v>80</v>
      </c>
      <c r="G9" s="92" t="n">
        <v>75</v>
      </c>
      <c r="H9" s="92" t="n">
        <v>95</v>
      </c>
      <c r="I9" s="92" t="n">
        <v>80</v>
      </c>
    </row>
    <row r="10" customFormat="false" ht="15" hidden="false" customHeight="false" outlineLevel="0" collapsed="false">
      <c r="B10" s="90" t="s">
        <v>147</v>
      </c>
      <c r="C10" s="90"/>
      <c r="D10" s="91"/>
      <c r="E10" s="91"/>
      <c r="F10" s="91"/>
      <c r="G10" s="91"/>
      <c r="H10" s="91"/>
      <c r="I10" s="91"/>
    </row>
    <row r="11" customFormat="false" ht="15.75" hidden="false" customHeight="false" outlineLevel="1" collapsed="false">
      <c r="B11" s="95"/>
      <c r="C11" s="95" t="s">
        <v>148</v>
      </c>
      <c r="D11" s="96" t="n">
        <v>560000000</v>
      </c>
      <c r="E11" s="96" t="n">
        <v>560000000</v>
      </c>
      <c r="F11" s="96" t="n">
        <v>784000000</v>
      </c>
      <c r="G11" s="96" t="n">
        <v>620125000</v>
      </c>
      <c r="H11" s="96" t="n">
        <v>979875000</v>
      </c>
      <c r="I11" s="96" t="n">
        <v>772800000</v>
      </c>
    </row>
    <row r="12" customFormat="false" ht="15" hidden="false" customHeight="false" outlineLevel="0" collapsed="false">
      <c r="B12" s="0" t="s">
        <v>149</v>
      </c>
    </row>
    <row r="13" customFormat="false" ht="15" hidden="false" customHeight="false" outlineLevel="0" collapsed="false">
      <c r="B13" s="0" t="s">
        <v>150</v>
      </c>
    </row>
    <row r="14" customFormat="false" ht="15" hidden="false" customHeight="false" outlineLevel="0" collapsed="false">
      <c r="B14" s="0" t="s">
        <v>151</v>
      </c>
    </row>
    <row r="1048576" customFormat="fals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H65536"/>
  <sheetViews>
    <sheetView windowProtection="false"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.75"/>
  <cols>
    <col collapsed="false" hidden="false" max="3" min="3" style="0" width="5.91497975708502"/>
    <col collapsed="false" hidden="false" max="8" min="4" style="0" width="15.17004048583"/>
  </cols>
  <sheetData>
    <row r="2" customFormat="false" ht="15.75" hidden="false" customHeight="false" outlineLevel="0" collapsed="false">
      <c r="B2" s="83" t="s">
        <v>134</v>
      </c>
      <c r="C2" s="83"/>
      <c r="D2" s="84"/>
      <c r="E2" s="84"/>
      <c r="F2" s="84"/>
      <c r="G2" s="84"/>
      <c r="H2" s="84"/>
    </row>
    <row r="3" customFormat="false" ht="15.75" hidden="false" customHeight="false" outlineLevel="0" collapsed="false">
      <c r="B3" s="85"/>
      <c r="C3" s="85"/>
      <c r="D3" s="86" t="s">
        <v>135</v>
      </c>
      <c r="E3" s="86" t="s">
        <v>136</v>
      </c>
      <c r="F3" s="86" t="s">
        <v>137</v>
      </c>
      <c r="G3" s="86" t="s">
        <v>138</v>
      </c>
      <c r="H3" s="86" t="s">
        <v>139</v>
      </c>
    </row>
    <row r="4" customFormat="false" ht="67.5" hidden="true" customHeight="false" outlineLevel="1" collapsed="false">
      <c r="B4" s="87"/>
      <c r="C4" s="87"/>
      <c r="D4" s="88"/>
      <c r="E4" s="89" t="s">
        <v>154</v>
      </c>
      <c r="F4" s="89" t="s">
        <v>156</v>
      </c>
      <c r="G4" s="89" t="s">
        <v>156</v>
      </c>
      <c r="H4" s="89" t="s">
        <v>156</v>
      </c>
    </row>
    <row r="5" customFormat="false" ht="15" hidden="false" customHeight="false" outlineLevel="0" collapsed="false">
      <c r="B5" s="90" t="s">
        <v>142</v>
      </c>
      <c r="C5" s="90"/>
      <c r="D5" s="91"/>
      <c r="E5" s="91"/>
      <c r="F5" s="91"/>
      <c r="G5" s="91"/>
      <c r="H5" s="91"/>
    </row>
    <row r="6" customFormat="false" ht="15" hidden="false" customHeight="false" outlineLevel="1" collapsed="false">
      <c r="B6" s="87"/>
      <c r="C6" s="87" t="s">
        <v>157</v>
      </c>
      <c r="D6" s="93" t="n">
        <v>70</v>
      </c>
      <c r="E6" s="94" t="n">
        <v>50</v>
      </c>
      <c r="F6" s="94" t="n">
        <v>70</v>
      </c>
      <c r="G6" s="94" t="n">
        <v>55</v>
      </c>
      <c r="H6" s="94" t="n">
        <v>75</v>
      </c>
    </row>
    <row r="7" customFormat="false" ht="15" hidden="false" customHeight="false" outlineLevel="1" collapsed="false">
      <c r="B7" s="87"/>
      <c r="C7" s="87" t="s">
        <v>158</v>
      </c>
      <c r="D7" s="88" t="n">
        <v>10000</v>
      </c>
      <c r="E7" s="88" t="n">
        <v>10000</v>
      </c>
      <c r="F7" s="92" t="n">
        <v>10000</v>
      </c>
      <c r="G7" s="92" t="n">
        <v>11000</v>
      </c>
      <c r="H7" s="92" t="n">
        <v>13000</v>
      </c>
    </row>
    <row r="8" customFormat="false" ht="15" hidden="false" customHeight="false" outlineLevel="1" collapsed="false">
      <c r="B8" s="87"/>
      <c r="C8" s="87" t="s">
        <v>159</v>
      </c>
      <c r="D8" s="88" t="n">
        <v>1200</v>
      </c>
      <c r="E8" s="88" t="n">
        <v>1200</v>
      </c>
      <c r="F8" s="92" t="n">
        <v>1200</v>
      </c>
      <c r="G8" s="92" t="n">
        <v>1100</v>
      </c>
      <c r="H8" s="92" t="n">
        <v>1100</v>
      </c>
    </row>
    <row r="9" customFormat="false" ht="15" hidden="false" customHeight="false" outlineLevel="1" collapsed="false">
      <c r="B9" s="87"/>
      <c r="C9" s="87" t="s">
        <v>160</v>
      </c>
      <c r="D9" s="88" t="n">
        <v>80</v>
      </c>
      <c r="E9" s="88" t="n">
        <v>80</v>
      </c>
      <c r="F9" s="92" t="n">
        <v>80</v>
      </c>
      <c r="G9" s="92" t="n">
        <v>75</v>
      </c>
      <c r="H9" s="92" t="n">
        <v>95</v>
      </c>
    </row>
    <row r="10" customFormat="false" ht="15" hidden="false" customHeight="false" outlineLevel="0" collapsed="false">
      <c r="B10" s="90" t="s">
        <v>147</v>
      </c>
      <c r="C10" s="90"/>
      <c r="D10" s="91"/>
      <c r="E10" s="91"/>
      <c r="F10" s="91"/>
      <c r="G10" s="91"/>
      <c r="H10" s="91"/>
    </row>
    <row r="11" customFormat="false" ht="15.75" hidden="false" customHeight="false" outlineLevel="1" collapsed="false">
      <c r="B11" s="95"/>
      <c r="C11" s="95" t="s">
        <v>161</v>
      </c>
      <c r="D11" s="96" t="n">
        <v>784000000</v>
      </c>
      <c r="E11" s="96" t="n">
        <v>560000000</v>
      </c>
      <c r="F11" s="96" t="n">
        <v>784000000</v>
      </c>
      <c r="G11" s="96" t="n">
        <v>620125000</v>
      </c>
      <c r="H11" s="96" t="n">
        <v>979875000</v>
      </c>
    </row>
    <row r="12" customFormat="false" ht="15" hidden="false" customHeight="false" outlineLevel="0" collapsed="false">
      <c r="B12" s="0" t="s">
        <v>149</v>
      </c>
    </row>
    <row r="13" customFormat="false" ht="15" hidden="false" customHeight="false" outlineLevel="0" collapsed="false">
      <c r="B13" s="0" t="s">
        <v>150</v>
      </c>
    </row>
    <row r="14" customFormat="false" ht="15" hidden="false" customHeight="false" outlineLevel="0" collapsed="false">
      <c r="B14" s="0" t="s">
        <v>151</v>
      </c>
    </row>
    <row r="1048576" customFormat="fals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en-IN</dc:language>
  <cp:lastModifiedBy/>
  <dcterms:modified xsi:type="dcterms:W3CDTF">2018-11-03T19:16:35Z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